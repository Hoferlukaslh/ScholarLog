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charts/chart1.xml" ContentType="application/vnd.openxmlformats-officedocument.drawingml.chart+xml"/>
  <Override PartName="/xl/worksheets/sheet3.xml" ContentType="application/vnd.openxmlformats-officedocument.spreadsheetml.worksheet+xml"/>
  <Override PartName="/xl/connections.xml" ContentType="application/vnd.openxmlformats-officedocument.spreadsheetml.connections+xml"/>
  <Override PartName="/xl/drawings/drawing2.xml" ContentType="application/vnd.openxmlformats-officedocument.drawing+xml"/>
  <Override PartName="/xl/tables/table2.xml" ContentType="application/vnd.openxmlformats-officedocument.spreadsheetml.table+xml"/>
  <Override PartName="/xl/charts/style1.xml" ContentType="application/vnd.ms-office.chartstyle+xml"/>
  <Override PartName="/xl/theme/theme1.xml" ContentType="application/vnd.openxmlformats-officedocument.theme+xml"/>
  <Override PartName="/xl/charts/chart2.xml" ContentType="application/vnd.openxmlformats-officedocument.drawingml.chart+xml"/>
  <Override PartName="/xl/charts/colors1.xml" ContentType="application/vnd.ms-office.chartcolorstyl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metadata.xml" ContentType="application/vnd.openxmlformats-officedocument.spreadsheetml.sheetMetadata+xml"/>
  <Override PartName="/customXml/itemProps1.xml" ContentType="application/vnd.openxmlformats-officedocument.customXmlProperties+xml"/>
  <Override PartName="/xl/worksheets/sheet1.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Journal" sheetId="1" state="visible" r:id="rId4"/>
    <sheet name="SommeParJours" sheetId="2" state="visible" r:id="rId5"/>
    <sheet name="Plannification" sheetId="3" state="visible" r:id="rId6"/>
    <sheet name="PlanificationExemple" sheetId="4" state="hidden" r:id="rId7"/>
  </sheets>
  <definedNames>
    <definedName name="_xlnm.Print_Area" localSheetId="0">Journal!$B$2:$H$33</definedName>
  </definedNames>
  <calcPr concurrentCalc="0"/>
  <extLst>
    <ext xmlns:x15="http://schemas.microsoft.com/office/spreadsheetml/2010/11/main" uri="{D0CA8CA8-9F24-4464-BF8E-62219DCF47F9}"/>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5E5792-0E48-4FFE-8194-0C30560714F0}" keepAlive="1" name="Requête - JournalDeTravail_M5" description="Connexion à la requête « JournalDeTravail_M5 » dans le classeur." type="5" background="1" refreshedVersion="0">
    <dbPr connection="Provider=Microsoft.Mashup.OleDb.1;Data Source=$Workbook$;Location=JournalDeTravail_M5;Extended Properties=&quot;&quot;" command="SELECT * FROM [JournalDeTravail_M5]"/>
  </connection>
  <connection id="2" xr16:uid="{FA8B2506-4C4D-4BE8-93E5-66D5C1840505}" keepAlive="1" name="Requête - JournalDeTravail_M5 (2)" description="Connexion à la requête « JournalDeTravail_M5 (2) » dans le classeur." type="5" background="1" refreshedVersion="0">
    <dbPr connection="Provider=Microsoft.Mashup.OleDb.1;Data Source=$Workbook$;Location=&quot;JournalDeTravail_M5 (2)&quot;;Extended Properties=&quot;&quot;" command="SELECT * FROM [JournalDeTravail_M5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<sst xmlns="http://schemas.openxmlformats.org/spreadsheetml/2006/main" count="169" uniqueCount="169">
  <si>
    <t>date</t>
  </si>
  <si>
    <t>Temps</t>
  </si>
  <si>
    <t xml:space="preserve">type de travail</t>
  </si>
  <si>
    <t>description</t>
  </si>
  <si>
    <t>somme</t>
  </si>
  <si>
    <t>20.01.2026</t>
  </si>
  <si>
    <t>Cours</t>
  </si>
  <si>
    <t xml:space="preserve">Introduction au module 5. Prise de notes.</t>
  </si>
  <si>
    <t>Recherche</t>
  </si>
  <si>
    <t xml:space="preserve">Recherche d'idée de projet.</t>
  </si>
  <si>
    <t>Plannification</t>
  </si>
  <si>
    <t>27.01.2026</t>
  </si>
  <si>
    <t>Documentation</t>
  </si>
  <si>
    <t xml:space="preserve">Création du cahier des charge, validation avec responsable du module. Création de la documentation technique.</t>
  </si>
  <si>
    <t xml:space="preserve">Recherche et configuration de solution GitHub. Clés SSH.</t>
  </si>
  <si>
    <t>Maquettage</t>
  </si>
  <si>
    <t xml:space="preserve">Recherche d'une application pour faire une maquette</t>
  </si>
  <si>
    <t>30.01.2026</t>
  </si>
  <si>
    <t xml:space="preserve">Recherche d'une application pour faire une maquette + Lecture de la documentation de l'outil Penpot</t>
  </si>
  <si>
    <t>Programmation</t>
  </si>
  <si>
    <t xml:space="preserve">Commencement de la maquette de l'application</t>
  </si>
  <si>
    <t>Tests</t>
  </si>
  <si>
    <t>03.02.2026</t>
  </si>
  <si>
    <t xml:space="preserve">Finalisation de l'introduction du projet.</t>
  </si>
  <si>
    <t>Présentation</t>
  </si>
  <si>
    <t xml:space="preserve">Ajout de la licence du projet et ajout de l'interface dans le dépot GitHub</t>
  </si>
  <si>
    <t>Somme</t>
  </si>
  <si>
    <t xml:space="preserve">Commencement de la plannification du projet</t>
  </si>
  <si>
    <t xml:space="preserve">Révision de la licence et des citation des ressources GPL3.0-Only parce que l'opensource c'est génial. Ajout du chapitre public cible dans la documentation technique.</t>
  </si>
  <si>
    <t>04.02.2026</t>
  </si>
  <si>
    <t xml:space="preserve">Commencement de la documentation sur l'exigence de l'application.</t>
  </si>
  <si>
    <t xml:space="preserve">Création de diagrammes (cas utilisation, MCD, classe), mis en pause, analyse pas terminé.</t>
  </si>
  <si>
    <t>06.02.2026</t>
  </si>
  <si>
    <t xml:space="preserve">Finalisation de la documentation analyse de l'application. </t>
  </si>
  <si>
    <t xml:space="preserve">Commencement du chapitre conception de l'applicaiton. MCD et Diagramme de Classes. Relecture du document.</t>
  </si>
  <si>
    <t>08.02.2026</t>
  </si>
  <si>
    <t xml:space="preserve">Plannification du projet terminé</t>
  </si>
  <si>
    <t>09.02.2026</t>
  </si>
  <si>
    <t xml:space="preserve">Diagramme de classe (interraction avec la BDD)</t>
  </si>
  <si>
    <t>10.02.2026</t>
  </si>
  <si>
    <t xml:space="preserve">Test de programmation SQLite + Classes</t>
  </si>
  <si>
    <t xml:space="preserve">Commencement du design du menu Journal</t>
  </si>
  <si>
    <t xml:space="preserve">Finalisation menu Note</t>
  </si>
  <si>
    <t>12.02.2026</t>
  </si>
  <si>
    <t xml:space="preserve">Finalisation du menu Journal</t>
  </si>
  <si>
    <t>13.02.2026</t>
  </si>
  <si>
    <t xml:space="preserve">Modification du menu Note</t>
  </si>
  <si>
    <t>24.02.2026</t>
  </si>
  <si>
    <t xml:space="preserve">Finalisation de la maquette + test</t>
  </si>
  <si>
    <t>03.03.2026</t>
  </si>
  <si>
    <t xml:space="preserve">Programmation des classes + test SQLite</t>
  </si>
  <si>
    <t xml:space="preserve">Documentation du EF.</t>
  </si>
  <si>
    <t>05.03.2026</t>
  </si>
  <si>
    <t xml:space="preserve">Modification de la maquette pour ajouter diagramme secteur et pratique de module.</t>
  </si>
  <si>
    <t xml:space="preserve">Documentation de la maquette</t>
  </si>
  <si>
    <t xml:space="preserve">Implémentation des police, couleur, themes et propriété d'affichage. Reflexion sur la possibilité d'avoir un thème sombre ET claire.</t>
  </si>
  <si>
    <t xml:space="preserve">Test de fonctionnement sur Windows, Linux et MacOS. Fonctionnel.</t>
  </si>
  <si>
    <t xml:space="preserve">Ajout des boutons de navigation entre les pages. Ajout de la page paramète. Implémentation du changement de thème et de la séléction du fichier BDD.db. Ajout d'une démonstration de la page d'accueil avec les notes (moyenne et tendances).</t>
  </si>
  <si>
    <t xml:space="preserve">Documentation des différents fichiers (code) du projet. </t>
  </si>
  <si>
    <t xml:space="preserve">Documentation des ressources globale et de la page paramètres. Relecture et correction du document.</t>
  </si>
  <si>
    <t xml:space="preserve">Modification de l'aboressance du projet</t>
  </si>
  <si>
    <t xml:space="preserve">Intégration de la vrai BDD + optimisation des ressources</t>
  </si>
  <si>
    <t xml:space="preserve">Ajout de l'animation de l'affichage + ajout de l'éritage des classes (ModelView)</t>
  </si>
  <si>
    <t xml:space="preserve">Intégration du graphique des répatition des heures dans Accueil. Correction du calcul de la moyenne (ajout en tant que composant réutilisable). Correction de l'affichage des module (selection mode). </t>
  </si>
  <si>
    <t xml:space="preserve">Ajout du journal actuel dans la BDD</t>
  </si>
  <si>
    <t xml:space="preserve">Ajout du chargement des données en service. Optimisation chargement des pages. Ajout du curseur de navigation. Ajout de la somme d'heures dans le graphique.</t>
  </si>
  <si>
    <t xml:space="preserve">Correction de l'animation. Changement de fonctionnement : Thread UI -&gt; gestion par axaml. Ajout du modal pour le typeTravail. Ajout lien home -&gt; journal</t>
  </si>
  <si>
    <t xml:space="preserve">Ajout d'une barre de chargement de l'application (splash screen). Ajout de transition entre les pages.</t>
  </si>
  <si>
    <t xml:space="preserve">Optimisation des requettes + algorithmes de tris. Optimisation de l'utilisation de la thread d'affichage. Correstion du sens d'animation de transition entre les pages. Optimisation des ressources. Compilation du schéma EF.</t>
  </si>
  <si>
    <t xml:space="preserve">Recherche de pratique de programmation sur les MVVM.</t>
  </si>
  <si>
    <t xml:space="preserve">Implémentation correction de la séparation en MVVM.</t>
  </si>
  <si>
    <t xml:space="preserve">Documentation des fichiers MVVM + Documentation du repertoire intérraction avec la BDD et de l'rchitecture globale et modélisation.</t>
  </si>
  <si>
    <t xml:space="preserve">Recherche d'une solution optimal pour stocker des scan d'évaluation dans l'application</t>
  </si>
  <si>
    <t xml:space="preserve">Création d'un PoC du concept. Test de fonctionnement du WorkFlow : PDF -&gt; Compression images -&gt; Archive -&gt; PDF. Fonctionnel 6,8Mo -&gt; 400Ko.</t>
  </si>
  <si>
    <t xml:space="preserve">Implémentation et séparation des responsabilités dans des classes séparés. WorkFlow en mémoire et Blob pour la souvegarde dans SQLite fonctionnel. (sans test d'injection du blob)</t>
  </si>
  <si>
    <t xml:space="preserve">Finalisation du PoC. Très concluant, fonctionnel et fluide. Merge de la branche PDF -&gt; Main.</t>
  </si>
  <si>
    <t xml:space="preserve">&lt;-- A jour avec la BDD</t>
  </si>
  <si>
    <t xml:space="preserve">Test de fonctionnement sur Windows, Linux et MacOS. Fonctionnel. Correction d'un dépendance sur Linux</t>
  </si>
  <si>
    <t xml:space="preserve">Ajout de l'interface pour éditer les modules</t>
  </si>
  <si>
    <t xml:space="preserve">Implémentation des intéractions avec la BDD pour la gestion de module</t>
  </si>
  <si>
    <t>Phases</t>
  </si>
  <si>
    <t>Tâche</t>
  </si>
  <si>
    <t>26.01.2026</t>
  </si>
  <si>
    <t>02.02.2026</t>
  </si>
  <si>
    <t>10.03.2026</t>
  </si>
  <si>
    <t xml:space="preserve">Vacances 
(16-20 fev.)</t>
  </si>
  <si>
    <t>23.02.2026</t>
  </si>
  <si>
    <t>02.03.2026</t>
  </si>
  <si>
    <t>16.03.2026</t>
  </si>
  <si>
    <t>17.03.2026</t>
  </si>
  <si>
    <t>24.03.2026</t>
  </si>
  <si>
    <t>30.03.2026</t>
  </si>
  <si>
    <t>31.03.2026</t>
  </si>
  <si>
    <t xml:space="preserve">Vacances
(6-18 avr.)</t>
  </si>
  <si>
    <t>20.04.2026</t>
  </si>
  <si>
    <t>21.04.2026</t>
  </si>
  <si>
    <t>28.04.2026</t>
  </si>
  <si>
    <t>04.05.2026</t>
  </si>
  <si>
    <t>05.05.2026</t>
  </si>
  <si>
    <t>12.05.2026</t>
  </si>
  <si>
    <t xml:space="preserve">Absent 
(18-22 Mai)</t>
  </si>
  <si>
    <t>26.05.2026</t>
  </si>
  <si>
    <t>01.06.2026</t>
  </si>
  <si>
    <t>02.06.2026</t>
  </si>
  <si>
    <t>08.06.2026</t>
  </si>
  <si>
    <t>09.06.2026</t>
  </si>
  <si>
    <t>11.06.2026</t>
  </si>
  <si>
    <t>17.06.2026</t>
  </si>
  <si>
    <t xml:space="preserve">Création dépot GitHub</t>
  </si>
  <si>
    <t xml:space="preserve">Journal de travail</t>
  </si>
  <si>
    <t xml:space="preserve">Mode d'emplois</t>
  </si>
  <si>
    <t xml:space="preserve">Préparation à la présentation</t>
  </si>
  <si>
    <t>Analyse</t>
  </si>
  <si>
    <t xml:space="preserve">Trouver et tester un framework</t>
  </si>
  <si>
    <t xml:space="preserve">Trouver une idée de projet</t>
  </si>
  <si>
    <t xml:space="preserve"> </t>
  </si>
  <si>
    <t xml:space="preserve">Décrire le projet et valider</t>
  </si>
  <si>
    <t xml:space="preserve">Lister les besoins</t>
  </si>
  <si>
    <t xml:space="preserve">Lister les choix de départ  (technologie)</t>
  </si>
  <si>
    <t xml:space="preserve">Choisir une architecture de l'application</t>
  </si>
  <si>
    <t>Conception</t>
  </si>
  <si>
    <t xml:space="preserve">Modélisation BDD</t>
  </si>
  <si>
    <t xml:space="preserve">Diagrammes UML </t>
  </si>
  <si>
    <t xml:space="preserve">Maquette de l'application (interractif)</t>
  </si>
  <si>
    <t xml:space="preserve">Test + correction de la maquette</t>
  </si>
  <si>
    <t>Implémentation</t>
  </si>
  <si>
    <t xml:space="preserve">Codage des classes</t>
  </si>
  <si>
    <t xml:space="preserve">Codage de l'interration avec la BDD</t>
  </si>
  <si>
    <t xml:space="preserve">Mise en place du MVVM</t>
  </si>
  <si>
    <t xml:space="preserve">Implémentation de l'interface</t>
  </si>
  <si>
    <t xml:space="preserve">Test fonctionnement de l'application</t>
  </si>
  <si>
    <t xml:space="preserve">Correction du code</t>
  </si>
  <si>
    <t>Jalons</t>
  </si>
  <si>
    <t>Planifié</t>
  </si>
  <si>
    <t xml:space="preserve">Remise du travail complet</t>
  </si>
  <si>
    <t xml:space="preserve">Dans les temps</t>
  </si>
  <si>
    <t>Retard</t>
  </si>
  <si>
    <t>Mois</t>
  </si>
  <si>
    <t>Octobre</t>
  </si>
  <si>
    <t>Novembre</t>
  </si>
  <si>
    <t>Décembre</t>
  </si>
  <si>
    <t>Janvier</t>
  </si>
  <si>
    <t>Février</t>
  </si>
  <si>
    <t>S</t>
  </si>
  <si>
    <t xml:space="preserve">10 semaines à 5 périodes  </t>
  </si>
  <si>
    <t xml:space="preserve">Étude des besoins</t>
  </si>
  <si>
    <t xml:space="preserve">Organigramme </t>
  </si>
  <si>
    <t xml:space="preserve">De octobre 2025 à janvier 2026</t>
  </si>
  <si>
    <t xml:space="preserve">Service réseau</t>
  </si>
  <si>
    <t xml:space="preserve">Remise :  11.02.2026</t>
  </si>
  <si>
    <t xml:space="preserve">Présentation : ?</t>
  </si>
  <si>
    <t xml:space="preserve">Nombre de nœuds</t>
  </si>
  <si>
    <t xml:space="preserve">Remédiation : ?</t>
  </si>
  <si>
    <t>Sécurité</t>
  </si>
  <si>
    <t xml:space="preserve">Conception
 Logique</t>
  </si>
  <si>
    <t xml:space="preserve">Topologie logique</t>
  </si>
  <si>
    <t xml:space="preserve">Plan d'adressage IPv4 et IPv6</t>
  </si>
  <si>
    <t xml:space="preserve">Planification du projet</t>
  </si>
  <si>
    <t xml:space="preserve">Analyse impl.</t>
  </si>
  <si>
    <t xml:space="preserve">Plan physique</t>
  </si>
  <si>
    <t xml:space="preserve">Liste de matériels</t>
  </si>
  <si>
    <t xml:space="preserve">Mise en place de la sécurité</t>
  </si>
  <si>
    <t>Simulation</t>
  </si>
  <si>
    <t xml:space="preserve">Création du réseau sur packet tracer</t>
  </si>
  <si>
    <t xml:space="preserve">Test du réseau</t>
  </si>
  <si>
    <t xml:space="preserve">Debug du réseau + checklist</t>
  </si>
  <si>
    <t xml:space="preserve">Préparation a la présentation</t>
  </si>
  <si>
    <t>Planifiée</t>
  </si>
  <si>
    <t>Effective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</si>
</sst>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7">
    <numFmt numFmtId="164" formatCode="h:mm;@"/>
    <numFmt numFmtId="165" formatCode="hh:mm;@"/>
    <numFmt numFmtId="166" formatCode="0.0&quot; H&quot;;@"/>
    <numFmt numFmtId="167" formatCode="0&quot;H&quot;"/>
    <numFmt numFmtId="168" formatCode="[$-F400]h:mm:ss\ AM/PM"/>
    <numFmt numFmtId="169" formatCode="yyyy\-mm\-dd;@"/>
    <numFmt numFmtId="170" formatCode="dd/mm/yyyy"/>
  </numFmts>
  <fonts count="5">
    <font>
      <sz val="11.000000"/>
      <color theme="1"/>
      <name val="Calibri"/>
      <scheme val="minor"/>
    </font>
    <font>
      <sz val="11.000000"/>
      <color theme="0"/>
      <name val="Calibri"/>
      <scheme val="minor"/>
    </font>
    <font>
      <sz val="11.000000"/>
      <color theme="0" tint="-0.499984740745262"/>
      <name val="Calibri"/>
      <scheme val="minor"/>
    </font>
    <font>
      <sz val="11.000000"/>
      <color rgb="FF92D050"/>
      <name val="Calibri"/>
      <scheme val="minor"/>
    </font>
    <font>
      <sz val="11.000000"/>
      <color rgb="FF00B050"/>
      <name val="Calibri"/>
      <scheme val="minor"/>
    </font>
  </fonts>
  <fills count="16">
    <fill>
      <patternFill patternType="none"/>
    </fill>
    <fill>
      <patternFill patternType="gray125"/>
    </fill>
    <fill>
      <patternFill patternType="solid">
        <fgColor theme="0"/>
        <bgColor theme="0"/>
      </patternFill>
    </fill>
    <fill>
      <patternFill patternType="solid">
        <fgColor theme="0" tint="-0.049989318521683403"/>
        <bgColor indexed="65"/>
      </patternFill>
    </fill>
    <fill>
      <patternFill patternType="solid">
        <fgColor theme="0" tint="-0.14999847407452621"/>
        <bgColor theme="0" tint="-0.14999847407452621"/>
      </patternFill>
    </fill>
    <fill>
      <patternFill patternType="solid">
        <fgColor rgb="FF00B050"/>
        <bgColor rgb="FF00B050"/>
      </patternFill>
    </fill>
    <fill>
      <patternFill patternType="solid">
        <fgColor rgb="FFFFC000"/>
        <bgColor rgb="FFFFC000"/>
      </patternFill>
    </fill>
    <fill>
      <patternFill patternType="solid">
        <fgColor rgb="FF92D050"/>
        <bgColor rgb="FF92D050"/>
      </patternFill>
    </fill>
    <fill>
      <patternFill patternType="solid">
        <fgColor rgb="FF92D050"/>
        <bgColor theme="0" tint="-0.14999847407452621"/>
      </patternFill>
    </fill>
    <fill>
      <patternFill patternType="solid">
        <fgColor theme="0" tint="-0.049989318521683403"/>
        <bgColor theme="0" tint="-0.049989318521683403"/>
      </patternFill>
    </fill>
    <fill>
      <patternFill patternType="solid">
        <fgColor rgb="FF92D050"/>
        <bgColor theme="0"/>
      </patternFill>
    </fill>
    <fill>
      <patternFill patternType="solid">
        <fgColor rgb="FF92D050"/>
        <bgColor theme="0" tint="-0.049989318521683403"/>
      </patternFill>
    </fill>
    <fill>
      <patternFill patternType="solid">
        <fgColor rgb="FFFFC000"/>
        <bgColor theme="0" tint="-0.049989318521683403"/>
      </patternFill>
    </fill>
    <fill>
      <patternFill patternType="solid">
        <fgColor theme="9"/>
      </patternFill>
    </fill>
    <fill>
      <patternFill patternType="solid">
        <fgColor theme="4"/>
      </patternFill>
    </fill>
    <fill>
      <patternFill patternType="solid">
        <fgColor theme="4"/>
        <bgColor theme="4"/>
      </patternFill>
    </fill>
  </fills>
  <borders count="70">
    <border>
      <left style="none"/>
      <right style="none"/>
      <top style="none"/>
      <bottom style="none"/>
      <diagonal style="none"/>
    </border>
    <border>
      <left style="none"/>
      <right style="none"/>
      <top style="none"/>
      <bottom style="double">
        <color auto="1"/>
      </bottom>
      <diagonal style="none"/>
    </border>
    <border>
      <left style="none"/>
      <right style="none"/>
      <top style="thin">
        <color theme="9" tint="0.39997558519241921"/>
      </top>
      <bottom style="thin">
        <color theme="9" tint="0.39997558519241921"/>
      </bottom>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thin">
        <color theme="1"/>
      </left>
      <right style="dashDot">
        <color theme="1"/>
      </right>
      <top style="thin">
        <color theme="1"/>
      </top>
      <bottom style="thin">
        <color theme="1"/>
      </bottom>
      <diagonal style="none"/>
    </border>
    <border>
      <left style="none"/>
      <right style="thin">
        <color theme="1"/>
      </right>
      <top style="thin">
        <color theme="1"/>
      </top>
      <bottom style="thin">
        <color theme="1"/>
      </bottom>
      <diagonal style="none"/>
    </border>
    <border>
      <left style="medium">
        <color auto="1"/>
      </left>
      <right style="medium">
        <color auto="1"/>
      </right>
      <top style="medium">
        <color auto="1"/>
      </top>
      <bottom style="none"/>
      <diagonal style="none"/>
    </border>
    <border>
      <left style="none"/>
      <right style="none"/>
      <top style="medium">
        <color auto="1"/>
      </top>
      <bottom style="none"/>
      <diagonal style="none"/>
    </border>
    <border>
      <left style="none"/>
      <right style="mediumDashed">
        <color auto="1"/>
      </right>
      <top style="medium">
        <color auto="1"/>
      </top>
      <bottom style="mediumDashed">
        <color auto="1"/>
      </bottom>
      <diagonal style="none"/>
    </border>
    <border>
      <left style="none"/>
      <right style="none"/>
      <top style="medium">
        <color auto="1"/>
      </top>
      <bottom style="mediumDashed">
        <color auto="1"/>
      </bottom>
      <diagonal style="none"/>
    </border>
    <border>
      <left style="none"/>
      <right style="medium">
        <color auto="1"/>
      </right>
      <top style="medium">
        <color auto="1"/>
      </top>
      <bottom style="mediumDashed">
        <color auto="1"/>
      </bottom>
      <diagonal style="none"/>
    </border>
    <border>
      <left style="medium">
        <color auto="1"/>
      </left>
      <right style="medium">
        <color auto="1"/>
      </right>
      <top style="none"/>
      <bottom style="thin">
        <color auto="1"/>
      </bottom>
      <diagonal style="none"/>
    </border>
    <border>
      <left style="medium">
        <color auto="1"/>
      </left>
      <right style="medium">
        <color auto="1"/>
      </right>
      <top style="none"/>
      <bottom style="none"/>
      <diagonal style="none"/>
    </border>
    <border>
      <left style="none"/>
      <right style="mediumDashed">
        <color auto="1"/>
      </right>
      <top style="none"/>
      <bottom style="none"/>
      <diagonal style="none"/>
    </border>
    <border>
      <left style="mediumDashed">
        <color auto="1"/>
      </left>
      <right style="dashDot">
        <color auto="1"/>
      </right>
      <top style="none"/>
      <bottom style="none"/>
      <diagonal style="none"/>
    </border>
    <border>
      <left style="dashDot">
        <color auto="1"/>
      </left>
      <right style="dashDot">
        <color auto="1"/>
      </right>
      <top style="none"/>
      <bottom style="none"/>
      <diagonal style="none"/>
    </border>
    <border>
      <left style="none"/>
      <right style="medium">
        <color auto="1"/>
      </right>
      <top style="none"/>
      <bottom style="none"/>
      <diagonal style="none"/>
    </border>
    <border>
      <left style="none"/>
      <right style="mediumDashed">
        <color auto="1"/>
      </right>
      <top style="medium">
        <color auto="1"/>
      </top>
      <bottom style="none"/>
      <diagonal style="none"/>
    </border>
    <border>
      <left style="mediumDashed">
        <color auto="1"/>
      </left>
      <right style="dashDot">
        <color auto="1"/>
      </right>
      <top style="medium">
        <color auto="1"/>
      </top>
      <bottom style="none"/>
      <diagonal style="none"/>
    </border>
    <border>
      <left style="dashDot">
        <color auto="1"/>
      </left>
      <right style="dashDot">
        <color auto="1"/>
      </right>
      <top style="medium">
        <color auto="1"/>
      </top>
      <bottom style="none"/>
      <diagonal style="none"/>
    </border>
    <border>
      <left style="none"/>
      <right style="medium">
        <color auto="1"/>
      </right>
      <top style="medium">
        <color auto="1"/>
      </top>
      <bottom style="none"/>
      <diagonal style="none"/>
    </border>
    <border>
      <left style="none"/>
      <right style="none"/>
      <top style="none"/>
      <bottom style="thin">
        <color auto="1"/>
      </bottom>
      <diagonal style="none"/>
    </border>
    <border>
      <left style="none"/>
      <right style="mediumDashed">
        <color auto="1"/>
      </right>
      <top style="none"/>
      <bottom style="thin">
        <color auto="1"/>
      </bottom>
      <diagonal style="none"/>
    </border>
    <border>
      <left style="mediumDashed">
        <color auto="1"/>
      </left>
      <right style="dashDot">
        <color auto="1"/>
      </right>
      <top style="none"/>
      <bottom style="thin">
        <color auto="1"/>
      </bottom>
      <diagonal style="none"/>
    </border>
    <border>
      <left style="dashDot">
        <color auto="1"/>
      </left>
      <right style="dashDot">
        <color auto="1"/>
      </right>
      <top style="none"/>
      <bottom style="thin">
        <color auto="1"/>
      </bottom>
      <diagonal style="none"/>
    </border>
    <border>
      <left style="none"/>
      <right style="medium">
        <color auto="1"/>
      </right>
      <top style="none"/>
      <bottom style="thin">
        <color auto="1"/>
      </bottom>
      <diagonal style="none"/>
    </border>
    <border>
      <left style="none"/>
      <right style="none"/>
      <top style="thin">
        <color auto="1"/>
      </top>
      <bottom style="none"/>
      <diagonal style="none"/>
    </border>
    <border>
      <left style="medium">
        <color auto="1"/>
      </left>
      <right style="medium">
        <color auto="1"/>
      </right>
      <top style="thin">
        <color auto="1"/>
      </top>
      <bottom style="none"/>
      <diagonal style="none"/>
    </border>
    <border>
      <left style="none"/>
      <right style="mediumDashed">
        <color auto="1"/>
      </right>
      <top style="thin">
        <color auto="1"/>
      </top>
      <bottom style="none"/>
      <diagonal style="none"/>
    </border>
    <border>
      <left style="mediumDashed">
        <color auto="1"/>
      </left>
      <right style="dashDot">
        <color auto="1"/>
      </right>
      <top style="thin">
        <color auto="1"/>
      </top>
      <bottom style="none"/>
      <diagonal style="none"/>
    </border>
    <border>
      <left style="dashDot">
        <color auto="1"/>
      </left>
      <right style="dashDot">
        <color auto="1"/>
      </right>
      <top style="thin">
        <color auto="1"/>
      </top>
      <bottom style="none"/>
      <diagonal style="none"/>
    </border>
    <border>
      <left style="none"/>
      <right style="medium">
        <color auto="1"/>
      </right>
      <top style="thin">
        <color auto="1"/>
      </top>
      <bottom style="none"/>
      <diagonal style="none"/>
    </border>
    <border>
      <left style="medium">
        <color auto="1"/>
      </left>
      <right style="medium">
        <color auto="1"/>
      </right>
      <top style="none"/>
      <bottom style="medium">
        <color auto="1"/>
      </bottom>
      <diagonal style="none"/>
    </border>
    <border>
      <left style="none"/>
      <right style="none"/>
      <top style="none"/>
      <bottom style="medium">
        <color auto="1"/>
      </bottom>
      <diagonal style="none"/>
    </border>
    <border>
      <left style="none"/>
      <right style="mediumDashed">
        <color auto="1"/>
      </right>
      <top style="none"/>
      <bottom style="medium">
        <color auto="1"/>
      </bottom>
      <diagonal style="none"/>
    </border>
    <border>
      <left style="mediumDashed">
        <color auto="1"/>
      </left>
      <right style="dashDot">
        <color auto="1"/>
      </right>
      <top style="none"/>
      <bottom style="medium">
        <color auto="1"/>
      </bottom>
      <diagonal style="none"/>
    </border>
    <border>
      <left style="dashDot">
        <color auto="1"/>
      </left>
      <right style="dashDot">
        <color auto="1"/>
      </right>
      <top style="none"/>
      <bottom style="medium">
        <color auto="1"/>
      </bottom>
      <diagonal style="none"/>
    </border>
    <border>
      <left style="none"/>
      <right style="medium">
        <color auto="1"/>
      </right>
      <top style="none"/>
      <bottom style="medium">
        <color auto="1"/>
      </bottom>
      <diagonal style="none"/>
    </border>
    <border>
      <left style="dashDot">
        <color auto="1"/>
      </left>
      <right style="dashDotDot">
        <color auto="1"/>
      </right>
      <top style="none"/>
      <bottom style="none"/>
      <diagonal style="none"/>
    </border>
    <border>
      <left style="none"/>
      <right style="dashDot">
        <color auto="1"/>
      </right>
      <top style="none"/>
      <bottom style="none"/>
      <diagonal style="none"/>
    </border>
    <border>
      <left style="mediumDashed">
        <color auto="1"/>
      </left>
      <right style="dashDotDot">
        <color auto="1"/>
      </right>
      <top style="none"/>
      <bottom style="none"/>
      <diagonal style="none"/>
    </border>
    <border>
      <left style="medium">
        <color auto="1"/>
      </left>
      <right style="medium">
        <color auto="1"/>
      </right>
      <top style="medium">
        <color auto="1"/>
      </top>
      <bottom style="thin">
        <color auto="1"/>
      </bottom>
      <diagonal style="none"/>
    </border>
    <border>
      <left style="none"/>
      <right style="none"/>
      <top style="medium">
        <color auto="1"/>
      </top>
      <bottom style="thin">
        <color auto="1"/>
      </bottom>
      <diagonal style="none"/>
    </border>
    <border>
      <left style="medium">
        <color auto="1"/>
      </left>
      <right style="mediumDashed">
        <color auto="1"/>
      </right>
      <top style="medium">
        <color auto="1"/>
      </top>
      <bottom style="none"/>
      <diagonal style="none"/>
    </border>
    <border>
      <left style="none"/>
      <right style="dashDotDot">
        <color auto="1"/>
      </right>
      <top style="medium">
        <color auto="1"/>
      </top>
      <bottom style="none"/>
      <diagonal style="none"/>
    </border>
    <border>
      <left style="dashDotDot">
        <color auto="1"/>
      </left>
      <right style="dashDotDot">
        <color auto="1"/>
      </right>
      <top style="medium">
        <color auto="1"/>
      </top>
      <bottom style="none"/>
      <diagonal style="none"/>
    </border>
    <border>
      <left style="dashDotDot">
        <color auto="1"/>
      </left>
      <right style="mediumDashed">
        <color auto="1"/>
      </right>
      <top style="medium">
        <color auto="1"/>
      </top>
      <bottom style="none"/>
      <diagonal style="none"/>
    </border>
    <border>
      <left style="medium">
        <color auto="1"/>
      </left>
      <right style="medium">
        <color auto="1"/>
      </right>
      <top style="thin">
        <color auto="1"/>
      </top>
      <bottom style="thin">
        <color auto="1"/>
      </bottom>
      <diagonal style="none"/>
    </border>
    <border>
      <left style="none"/>
      <right style="none"/>
      <top style="thin">
        <color auto="1"/>
      </top>
      <bottom style="thin">
        <color auto="1"/>
      </bottom>
      <diagonal style="none"/>
    </border>
    <border>
      <left style="medium">
        <color auto="1"/>
      </left>
      <right style="mediumDashed">
        <color auto="1"/>
      </right>
      <top style="none"/>
      <bottom style="thin">
        <color auto="1"/>
      </bottom>
      <diagonal style="none"/>
    </border>
    <border>
      <left style="none"/>
      <right style="dashDotDot">
        <color auto="1"/>
      </right>
      <top style="none"/>
      <bottom style="thin">
        <color auto="1"/>
      </bottom>
      <diagonal style="none"/>
    </border>
    <border>
      <left style="dashDotDot">
        <color auto="1"/>
      </left>
      <right style="dashDotDot">
        <color auto="1"/>
      </right>
      <top style="none"/>
      <bottom style="thin">
        <color auto="1"/>
      </bottom>
      <diagonal style="none"/>
    </border>
    <border>
      <left style="dashDotDot">
        <color auto="1"/>
      </left>
      <right style="mediumDashed">
        <color auto="1"/>
      </right>
      <top style="none"/>
      <bottom style="thin">
        <color auto="1"/>
      </bottom>
      <diagonal style="none"/>
    </border>
    <border>
      <left style="medium">
        <color auto="1"/>
      </left>
      <right style="mediumDashed">
        <color auto="1"/>
      </right>
      <top style="thin">
        <color auto="1"/>
      </top>
      <bottom style="none"/>
      <diagonal style="none"/>
    </border>
    <border>
      <left style="none"/>
      <right style="dashDotDot">
        <color auto="1"/>
      </right>
      <top style="thin">
        <color auto="1"/>
      </top>
      <bottom style="none"/>
      <diagonal style="none"/>
    </border>
    <border>
      <left style="dashDotDot">
        <color auto="1"/>
      </left>
      <right style="dashDotDot">
        <color auto="1"/>
      </right>
      <top style="thin">
        <color auto="1"/>
      </top>
      <bottom style="none"/>
      <diagonal style="none"/>
    </border>
    <border>
      <left style="dashDotDot">
        <color auto="1"/>
      </left>
      <right style="mediumDashed">
        <color auto="1"/>
      </right>
      <top style="thin">
        <color auto="1"/>
      </top>
      <bottom style="none"/>
      <diagonal style="none"/>
    </border>
    <border>
      <left style="medium">
        <color auto="1"/>
      </left>
      <right style="mediumDashed">
        <color auto="1"/>
      </right>
      <top style="none"/>
      <bottom style="none"/>
      <diagonal style="none"/>
    </border>
    <border>
      <left style="none"/>
      <right style="dashDotDot">
        <color auto="1"/>
      </right>
      <top style="none"/>
      <bottom style="none"/>
      <diagonal style="none"/>
    </border>
    <border>
      <left style="dashDotDot">
        <color auto="1"/>
      </left>
      <right style="dashDotDot">
        <color auto="1"/>
      </right>
      <top style="none"/>
      <bottom style="none"/>
      <diagonal style="none"/>
    </border>
    <border>
      <left style="dashDotDot">
        <color auto="1"/>
      </left>
      <right style="mediumDashed">
        <color auto="1"/>
      </right>
      <top style="none"/>
      <bottom style="none"/>
      <diagonal style="none"/>
    </border>
    <border>
      <left style="medium">
        <color auto="1"/>
      </left>
      <right style="none"/>
      <top style="medium">
        <color auto="1"/>
      </top>
      <bottom style="none"/>
      <diagonal style="none"/>
    </border>
    <border>
      <left style="medium">
        <color auto="1"/>
      </left>
      <right style="medium">
        <color auto="1"/>
      </right>
      <top style="thin">
        <color auto="1"/>
      </top>
      <bottom style="medium">
        <color auto="1"/>
      </bottom>
      <diagonal style="none"/>
    </border>
    <border>
      <left style="none"/>
      <right style="none"/>
      <top style="thin">
        <color auto="1"/>
      </top>
      <bottom style="medium">
        <color auto="1"/>
      </bottom>
      <diagonal style="none"/>
    </border>
    <border>
      <left style="medium">
        <color auto="1"/>
      </left>
      <right style="mediumDashed">
        <color auto="1"/>
      </right>
      <top style="none"/>
      <bottom style="medium">
        <color auto="1"/>
      </bottom>
      <diagonal style="none"/>
    </border>
    <border>
      <left style="none"/>
      <right style="dashDotDot">
        <color auto="1"/>
      </right>
      <top style="none"/>
      <bottom style="medium">
        <color auto="1"/>
      </bottom>
      <diagonal style="none"/>
    </border>
    <border>
      <left style="dashDotDot">
        <color auto="1"/>
      </left>
      <right style="dashDotDot">
        <color auto="1"/>
      </right>
      <top style="none"/>
      <bottom style="medium">
        <color auto="1"/>
      </bottom>
      <diagonal style="none"/>
    </border>
    <border>
      <left style="dashDotDot">
        <color auto="1"/>
      </left>
      <right style="mediumDashed">
        <color auto="1"/>
      </right>
      <top style="none"/>
      <bottom style="medium">
        <color auto="1"/>
      </bottom>
      <diagonal style="none"/>
    </border>
    <border>
      <left style="medium">
        <color auto="1"/>
      </left>
      <right style="none"/>
      <top style="none"/>
      <bottom style="medium">
        <color auto="1"/>
      </bottom>
      <diagonal style="none"/>
    </border>
  </borders>
  <cellStyleXfs count="2">
    <xf fontId="0" fillId="0" borderId="0" numFmtId="0" applyNumberFormat="1" applyFont="1" applyFill="1" applyBorder="1"/>
    <xf fontId="0" fillId="0" borderId="0" numFmtId="9" applyNumberFormat="1" applyFont="0" applyFill="0" applyBorder="0" applyProtection="0"/>
  </cellStyleXfs>
  <cellXfs count="176">
    <xf fontId="0" fillId="0" borderId="0" numFmtId="0" xfId="0"/>
    <xf fontId="0" fillId="0" borderId="0" numFmtId="0" xfId="0" applyAlignment="1">
      <alignment horizontal="center"/>
    </xf>
    <xf fontId="0" fillId="0" borderId="0" numFmtId="0" xfId="0" applyAlignment="1">
      <alignment wrapText="1"/>
    </xf>
    <xf fontId="0" fillId="0" borderId="0" numFmtId="164" xfId="0" applyNumberFormat="1" applyAlignment="1">
      <alignment horizontal="center" vertical="center"/>
    </xf>
    <xf fontId="1" fillId="0" borderId="0" numFmtId="0" xfId="0" applyFont="1"/>
    <xf fontId="0" fillId="0" borderId="0" numFmtId="14" xfId="0" applyNumberFormat="1" applyAlignment="1">
      <alignment horizontal="left" vertical="center"/>
    </xf>
    <xf fontId="0" fillId="0" borderId="0" numFmtId="165" xfId="0" applyNumberFormat="1" applyAlignment="1">
      <alignment horizontal="center" vertical="center"/>
    </xf>
    <xf fontId="0" fillId="0" borderId="0" numFmtId="0" xfId="0" applyAlignment="1">
      <alignment vertical="center"/>
    </xf>
    <xf fontId="0" fillId="0" borderId="0" numFmtId="0" xfId="0" applyAlignment="1">
      <alignment vertical="center" wrapText="1"/>
    </xf>
    <xf fontId="0" fillId="0" borderId="0" numFmtId="0" xfId="0" applyAlignment="1">
      <alignment horizontal="left" vertical="center"/>
    </xf>
    <xf fontId="0" fillId="0" borderId="0" numFmtId="166" xfId="0" applyNumberFormat="1" applyAlignment="1">
      <alignment horizontal="center" vertical="center"/>
    </xf>
    <xf fontId="1" fillId="0" borderId="0" numFmtId="9" xfId="1" applyNumberFormat="1" applyFont="1"/>
    <xf fontId="1" fillId="0" borderId="0" numFmtId="2" xfId="0" applyNumberFormat="1" applyFont="1"/>
    <xf fontId="1" fillId="0" borderId="0" numFmtId="167" xfId="0" applyNumberFormat="1" applyFont="1"/>
    <xf fontId="1" fillId="0" borderId="0" numFmtId="166" xfId="0" applyNumberFormat="1" applyFont="1"/>
    <xf fontId="0" fillId="0" borderId="1" numFmtId="0" xfId="0" applyBorder="1" applyAlignment="1">
      <alignment horizontal="left" vertical="center"/>
    </xf>
    <xf fontId="0" fillId="0" borderId="1" numFmtId="166" xfId="0" applyNumberFormat="1" applyBorder="1" applyAlignment="1">
      <alignment horizontal="center" vertical="center"/>
    </xf>
    <xf fontId="0" fillId="0" borderId="2" numFmtId="14" xfId="0" applyNumberFormat="1" applyBorder="1"/>
    <xf fontId="0" fillId="0" borderId="2" numFmtId="0" xfId="0" applyBorder="1"/>
    <xf fontId="0" fillId="0" borderId="0" numFmtId="168" xfId="0" applyNumberFormat="1"/>
    <xf fontId="0" fillId="0" borderId="0" numFmtId="14" xfId="0" applyNumberFormat="1" applyAlignment="1">
      <alignment vertical="center"/>
    </xf>
    <xf fontId="0" fillId="0" borderId="0" numFmtId="20" xfId="0" applyNumberFormat="1" applyAlignment="1">
      <alignment horizontal="center" vertical="center"/>
    </xf>
    <xf fontId="0" fillId="0" borderId="0" numFmtId="0" xfId="0" applyAlignment="1">
      <alignment vertical="center" wrapText="1"/>
    </xf>
    <xf fontId="0" fillId="0" borderId="0" numFmtId="0" xfId="0" applyAlignment="1">
      <alignment vertical="center"/>
    </xf>
    <xf fontId="0" fillId="0" borderId="0" numFmtId="0" xfId="0" applyAlignment="1">
      <alignment horizontal="center" vertical="center"/>
    </xf>
    <xf fontId="0" fillId="0" borderId="0" numFmtId="14" xfId="0" applyNumberFormat="1" applyAlignment="1">
      <alignment horizontal="left"/>
    </xf>
    <xf fontId="0" fillId="0" borderId="0" numFmtId="164" xfId="0" applyNumberFormat="1"/>
    <xf fontId="0" fillId="0" borderId="0" numFmtId="2" xfId="0" applyNumberFormat="1"/>
    <xf fontId="1" fillId="0" borderId="0" numFmtId="164" xfId="0" applyNumberFormat="1" applyFont="1"/>
    <xf fontId="0" fillId="0" borderId="0" numFmtId="14" xfId="0" applyNumberFormat="1"/>
    <xf fontId="0" fillId="0" borderId="0" numFmtId="169" xfId="0" applyNumberFormat="1"/>
    <xf fontId="0" fillId="2" borderId="0" numFmtId="0" xfId="0" applyFill="1"/>
    <xf fontId="0" fillId="0" borderId="0" numFmtId="0" xfId="0" applyProtection="1">
      <protection locked="0"/>
    </xf>
    <xf fontId="0" fillId="3" borderId="3" numFmtId="0" xfId="0" applyFill="1" applyBorder="1" applyAlignment="1" applyProtection="1">
      <alignment horizontal="center" textRotation="180" vertical="center" wrapText="1"/>
      <protection locked="0"/>
    </xf>
    <xf fontId="0" fillId="3" borderId="3" numFmtId="0" xfId="0" applyFill="1" applyBorder="1" applyAlignment="1" applyProtection="1">
      <alignment horizontal="left" vertical="center"/>
      <protection locked="0"/>
    </xf>
    <xf fontId="0" fillId="0" borderId="3" numFmtId="0" xfId="0" applyBorder="1" applyAlignment="1" applyProtection="1">
      <alignment horizontal="center" textRotation="180" vertical="center"/>
      <protection locked="0"/>
    </xf>
    <xf fontId="0" fillId="0" borderId="4" numFmtId="0" xfId="0" applyBorder="1" applyAlignment="1" applyProtection="1">
      <alignment horizontal="center" textRotation="180" vertical="center"/>
      <protection locked="0"/>
    </xf>
    <xf fontId="0" fillId="0" borderId="5" numFmtId="0" xfId="0" applyBorder="1" applyAlignment="1" applyProtection="1">
      <alignment horizontal="center" textRotation="180" vertical="center"/>
      <protection locked="0"/>
    </xf>
    <xf fontId="0" fillId="0" borderId="6" numFmtId="0" xfId="0" applyBorder="1" applyAlignment="1" applyProtection="1">
      <alignment horizontal="center" textRotation="180" vertical="center"/>
      <protection locked="0"/>
    </xf>
    <xf fontId="2" fillId="2" borderId="3" numFmtId="0" xfId="0" applyFont="1" applyFill="1" applyBorder="1" applyAlignment="1" applyProtection="1">
      <alignment horizontal="center" textRotation="180" vertical="center" wrapText="1"/>
      <protection locked="0"/>
    </xf>
    <xf fontId="2" fillId="2" borderId="6" numFmtId="0" xfId="0" applyFont="1" applyFill="1" applyBorder="1" applyAlignment="1" applyProtection="1">
      <alignment horizontal="center" textRotation="180" vertical="center" wrapText="1"/>
      <protection locked="0"/>
    </xf>
    <xf fontId="0" fillId="0" borderId="6" numFmtId="0" xfId="0" applyBorder="1" applyAlignment="1" applyProtection="1">
      <alignment horizontal="center" textRotation="180" vertical="center" wrapText="1"/>
      <protection locked="0"/>
    </xf>
    <xf fontId="0" fillId="0" borderId="3" numFmtId="0" xfId="0" applyBorder="1" applyAlignment="1" applyProtection="1">
      <alignment horizontal="center" textRotation="180" vertical="center" wrapText="1"/>
      <protection locked="0"/>
    </xf>
    <xf fontId="0" fillId="0" borderId="5" numFmtId="0" xfId="0" applyBorder="1" applyAlignment="1" applyProtection="1">
      <alignment textRotation="180" vertical="center" wrapText="1"/>
      <protection locked="0"/>
    </xf>
    <xf fontId="0" fillId="0" borderId="6" numFmtId="0" xfId="0" applyBorder="1" applyAlignment="1" applyProtection="1">
      <alignment textRotation="180" vertical="center" wrapText="1"/>
      <protection locked="0"/>
    </xf>
    <xf fontId="0" fillId="0" borderId="3" numFmtId="0" xfId="0" applyBorder="1" applyAlignment="1" applyProtection="1">
      <alignment textRotation="180" vertical="center" wrapText="1"/>
      <protection locked="0"/>
    </xf>
    <xf fontId="0" fillId="0" borderId="0" numFmtId="0" xfId="0" applyAlignment="1" applyProtection="1">
      <alignment textRotation="180" wrapText="1"/>
      <protection locked="0"/>
    </xf>
    <xf fontId="0" fillId="4" borderId="3" numFmtId="0" xfId="0" applyFill="1" applyBorder="1" applyAlignment="1">
      <alignment horizontal="center" textRotation="180" vertical="center"/>
    </xf>
    <xf fontId="0" fillId="4" borderId="3" numFmtId="0" xfId="0" applyFill="1" applyBorder="1" applyAlignment="1">
      <alignment horizontal="left" vertical="center"/>
    </xf>
    <xf fontId="0" fillId="4" borderId="3" numFmtId="0" xfId="0" applyFill="1" applyBorder="1"/>
    <xf fontId="0" fillId="5" borderId="4" numFmtId="0" xfId="0" applyFill="1" applyBorder="1"/>
    <xf fontId="0" fillId="5" borderId="5" numFmtId="0" xfId="0" applyFill="1" applyBorder="1"/>
    <xf fontId="0" fillId="5" borderId="6" numFmtId="0" xfId="0" applyFill="1" applyBorder="1"/>
    <xf fontId="0" fillId="2" borderId="3" numFmtId="0" xfId="0" applyFill="1" applyBorder="1"/>
    <xf fontId="0" fillId="4" borderId="5" numFmtId="0" xfId="0" applyFill="1" applyBorder="1"/>
    <xf fontId="0" fillId="4" borderId="6" numFmtId="0" xfId="0" applyFill="1" applyBorder="1"/>
    <xf fontId="0" fillId="2" borderId="6" numFmtId="0" xfId="0" applyFill="1" applyBorder="1"/>
    <xf fontId="0" fillId="4" borderId="4" numFmtId="0" xfId="0" applyFill="1" applyBorder="1"/>
    <xf fontId="0" fillId="6" borderId="3" numFmtId="0" xfId="0" applyFill="1" applyBorder="1"/>
    <xf fontId="0" fillId="7" borderId="4" numFmtId="0" xfId="0" applyFill="1" applyBorder="1"/>
    <xf fontId="0" fillId="7" borderId="5" numFmtId="0" xfId="0" applyFill="1" applyBorder="1"/>
    <xf fontId="0" fillId="7" borderId="6" numFmtId="0" xfId="0" applyFill="1" applyBorder="1"/>
    <xf fontId="0" fillId="7" borderId="3" numFmtId="0" xfId="0" applyFill="1" applyBorder="1"/>
    <xf fontId="0" fillId="5" borderId="3" numFmtId="0" xfId="0" applyFill="1" applyBorder="1"/>
    <xf fontId="0" fillId="8" borderId="3" numFmtId="0" xfId="0" applyFill="1" applyBorder="1"/>
    <xf fontId="0" fillId="9" borderId="3" numFmtId="0" xfId="0" applyFill="1" applyBorder="1" applyAlignment="1">
      <alignment horizontal="center" textRotation="180" vertical="center"/>
    </xf>
    <xf fontId="0" fillId="9" borderId="3" numFmtId="0" xfId="0" applyFill="1" applyBorder="1" applyAlignment="1">
      <alignment horizontal="left" vertical="center"/>
    </xf>
    <xf fontId="0" fillId="9" borderId="6" numFmtId="0" xfId="0" applyFill="1" applyBorder="1"/>
    <xf fontId="0" fillId="9" borderId="3" numFmtId="0" xfId="0" applyFill="1" applyBorder="1"/>
    <xf fontId="0" fillId="9" borderId="5" numFmtId="0" xfId="0" applyFill="1" applyBorder="1"/>
    <xf fontId="3" fillId="7" borderId="3" numFmtId="0" xfId="0" applyFont="1" applyFill="1" applyBorder="1"/>
    <xf fontId="0" fillId="9" borderId="4" numFmtId="0" xfId="0" applyFill="1" applyBorder="1"/>
    <xf fontId="0" fillId="6" borderId="4" numFmtId="0" xfId="0" applyFill="1" applyBorder="1"/>
    <xf fontId="0" fillId="10" borderId="3" numFmtId="0" xfId="0" applyFill="1" applyBorder="1"/>
    <xf fontId="0" fillId="9" borderId="3" numFmtId="0" xfId="0" applyFill="1" applyBorder="1" applyAlignment="1">
      <alignment horizontal="left"/>
    </xf>
    <xf fontId="0" fillId="11" borderId="3" numFmtId="0" xfId="0" applyFill="1" applyBorder="1"/>
    <xf fontId="0" fillId="12" borderId="3" numFmtId="0" xfId="0" applyFill="1" applyBorder="1"/>
    <xf fontId="0" fillId="4" borderId="3" numFmtId="0" xfId="0" applyFill="1" applyBorder="1" applyAlignment="1">
      <alignment horizontal="left"/>
    </xf>
    <xf fontId="0" fillId="0" borderId="3" numFmtId="0" xfId="0" applyBorder="1"/>
    <xf fontId="4" fillId="5" borderId="3" numFmtId="0" xfId="0" applyFont="1" applyFill="1" applyBorder="1"/>
    <xf fontId="0" fillId="0" borderId="0" numFmtId="15" xfId="0" applyNumberFormat="1"/>
    <xf fontId="0" fillId="3" borderId="7" numFmtId="0" xfId="0" applyFill="1" applyBorder="1" applyAlignment="1">
      <alignment horizontal="center" textRotation="180" vertical="center" wrapText="1"/>
    </xf>
    <xf fontId="0" fillId="3" borderId="8" numFmtId="0" xfId="0" applyFill="1" applyBorder="1" applyAlignment="1">
      <alignment horizontal="left" vertical="center"/>
    </xf>
    <xf fontId="0" fillId="3" borderId="7" numFmtId="0" xfId="0" applyFill="1" applyBorder="1" applyAlignment="1">
      <alignment horizontal="center" textRotation="180" vertical="center"/>
    </xf>
    <xf fontId="0" fillId="3" borderId="9" numFmtId="0" xfId="0" applyFill="1" applyBorder="1" applyAlignment="1">
      <alignment horizontal="center" textRotation="180" vertical="center"/>
    </xf>
    <xf fontId="0" fillId="3" borderId="10" numFmtId="0" xfId="0" applyFill="1" applyBorder="1" applyAlignment="1">
      <alignment horizontal="center" textRotation="180" vertical="center"/>
    </xf>
    <xf fontId="0" fillId="3" borderId="11" numFmtId="0" xfId="0" applyFill="1" applyBorder="1" applyAlignment="1">
      <alignment horizontal="center" textRotation="180" vertical="center"/>
    </xf>
    <xf fontId="0" fillId="3" borderId="12" numFmtId="0" xfId="0" applyFill="1" applyBorder="1" applyAlignment="1">
      <alignment horizontal="center" textRotation="180" vertical="center" wrapText="1"/>
    </xf>
    <xf fontId="0" fillId="3" borderId="0" numFmtId="0" xfId="0" applyFill="1" applyAlignment="1">
      <alignment horizontal="left" vertical="center"/>
    </xf>
    <xf fontId="0" fillId="3" borderId="13" numFmtId="0" xfId="0" applyFill="1" applyBorder="1" applyAlignment="1">
      <alignment horizontal="center"/>
    </xf>
    <xf fontId="0" fillId="3" borderId="14" numFmtId="0" xfId="0" applyFill="1" applyBorder="1" applyAlignment="1">
      <alignment horizontal="center" vertical="center"/>
    </xf>
    <xf fontId="0" fillId="3" borderId="15" numFmtId="0" xfId="0" applyFill="1" applyBorder="1" applyAlignment="1">
      <alignment horizontal="center" vertical="center"/>
    </xf>
    <xf fontId="0" fillId="3" borderId="16" numFmtId="0" xfId="0" applyFill="1" applyBorder="1" applyAlignment="1">
      <alignment horizontal="center" vertical="center"/>
    </xf>
    <xf fontId="0" fillId="3" borderId="17" numFmtId="0" xfId="0" applyFill="1" applyBorder="1" applyAlignment="1">
      <alignment horizontal="center" vertical="center"/>
    </xf>
    <xf fontId="0" fillId="3" borderId="13" numFmtId="0" xfId="0" applyFill="1" applyBorder="1" applyAlignment="1">
      <alignment horizontal="center" textRotation="180" vertical="center"/>
    </xf>
    <xf fontId="0" fillId="3" borderId="7" numFmtId="0" xfId="0" applyFill="1" applyBorder="1"/>
    <xf fontId="0" fillId="0" borderId="18" numFmtId="0" xfId="0" applyBorder="1"/>
    <xf fontId="0" fillId="13" borderId="19" numFmtId="0" xfId="0" applyFill="1" applyBorder="1"/>
    <xf fontId="0" fillId="0" borderId="20" numFmtId="0" xfId="0" applyBorder="1"/>
    <xf fontId="0" fillId="0" borderId="19" numFmtId="0" xfId="0" applyBorder="1"/>
    <xf fontId="0" fillId="0" borderId="21" numFmtId="0" xfId="0" applyBorder="1"/>
    <xf fontId="0" fillId="3" borderId="22" numFmtId="0" xfId="0" applyFill="1" applyBorder="1" applyAlignment="1">
      <alignment horizontal="left" vertical="center"/>
    </xf>
    <xf fontId="0" fillId="3" borderId="12" numFmtId="0" xfId="0" applyFill="1" applyBorder="1"/>
    <xf fontId="0" fillId="0" borderId="23" numFmtId="0" xfId="0" applyBorder="1"/>
    <xf fontId="0" fillId="14" borderId="24" numFmtId="0" xfId="0" applyFill="1" applyBorder="1"/>
    <xf fontId="0" fillId="14" borderId="25" numFmtId="0" xfId="0" applyFill="1" applyBorder="1"/>
    <xf fontId="0" fillId="0" borderId="25" numFmtId="0" xfId="0" applyBorder="1"/>
    <xf fontId="0" fillId="0" borderId="24" numFmtId="0" xfId="0" applyBorder="1"/>
    <xf fontId="0" fillId="0" borderId="26" numFmtId="0" xfId="0" applyBorder="1"/>
    <xf fontId="0" fillId="3" borderId="27" numFmtId="0" xfId="0" applyFill="1" applyBorder="1" applyAlignment="1">
      <alignment horizontal="left" vertical="center"/>
    </xf>
    <xf fontId="0" fillId="3" borderId="28" numFmtId="0" xfId="0" applyFill="1" applyBorder="1"/>
    <xf fontId="0" fillId="0" borderId="29" numFmtId="0" xfId="0" applyBorder="1"/>
    <xf fontId="0" fillId="13" borderId="30" numFmtId="0" xfId="0" applyFill="1" applyBorder="1"/>
    <xf fontId="0" fillId="13" borderId="31" numFmtId="0" xfId="0" applyFill="1" applyBorder="1"/>
    <xf fontId="0" fillId="0" borderId="31" numFmtId="0" xfId="0" applyBorder="1"/>
    <xf fontId="0" fillId="0" borderId="30" numFmtId="0" xfId="0" applyBorder="1"/>
    <xf fontId="0" fillId="0" borderId="32" numFmtId="0" xfId="0" applyBorder="1"/>
    <xf fontId="0" fillId="0" borderId="0" numFmtId="0" xfId="0" applyAlignment="1">
      <alignment horizontal="left"/>
    </xf>
    <xf fontId="0" fillId="3" borderId="33" numFmtId="0" xfId="0" applyFill="1" applyBorder="1" applyAlignment="1">
      <alignment horizontal="center" textRotation="180" vertical="center"/>
    </xf>
    <xf fontId="0" fillId="3" borderId="34" numFmtId="0" xfId="0" applyFill="1" applyBorder="1" applyAlignment="1">
      <alignment horizontal="left" vertical="center"/>
    </xf>
    <xf fontId="0" fillId="3" borderId="33" numFmtId="0" xfId="0" applyFill="1" applyBorder="1"/>
    <xf fontId="0" fillId="0" borderId="35" numFmtId="0" xfId="0" applyBorder="1"/>
    <xf fontId="0" fillId="0" borderId="36" numFmtId="0" xfId="0" applyBorder="1"/>
    <xf fontId="0" fillId="14" borderId="37" numFmtId="0" xfId="0" applyFill="1" applyBorder="1"/>
    <xf fontId="0" fillId="0" borderId="37" numFmtId="0" xfId="0" applyBorder="1"/>
    <xf fontId="0" fillId="0" borderId="38" numFmtId="0" xfId="0" applyBorder="1"/>
    <xf fontId="0" fillId="13" borderId="20" numFmtId="0" xfId="0" applyFill="1" applyBorder="1"/>
    <xf fontId="0" fillId="13" borderId="18" numFmtId="0" xfId="0" applyFill="1" applyBorder="1"/>
    <xf fontId="0" fillId="3" borderId="28" numFmtId="0" xfId="0" applyFill="1" applyBorder="1" applyAlignment="1">
      <alignment horizontal="left"/>
    </xf>
    <xf fontId="0" fillId="14" borderId="23" numFmtId="0" xfId="0" applyFill="1" applyBorder="1"/>
    <xf fontId="0" fillId="13" borderId="29" numFmtId="0" xfId="0" applyFill="1" applyBorder="1"/>
    <xf fontId="0" fillId="14" borderId="36" numFmtId="0" xfId="0" applyFill="1" applyBorder="1"/>
    <xf fontId="0" fillId="15" borderId="24" numFmtId="0" xfId="0" applyFill="1" applyBorder="1"/>
    <xf fontId="0" fillId="3" borderId="13" numFmtId="0" xfId="0" applyFill="1" applyBorder="1"/>
    <xf fontId="0" fillId="0" borderId="14" numFmtId="0" xfId="0" applyBorder="1"/>
    <xf fontId="0" fillId="0" borderId="15" numFmtId="0" xfId="0" applyBorder="1"/>
    <xf fontId="0" fillId="0" borderId="39" numFmtId="0" xfId="0" applyBorder="1"/>
    <xf fontId="0" fillId="0" borderId="40" numFmtId="0" xfId="0" applyBorder="1"/>
    <xf fontId="0" fillId="0" borderId="41" numFmtId="0" xfId="0" applyBorder="1"/>
    <xf fontId="0" fillId="0" borderId="17" numFmtId="0" xfId="0" applyBorder="1"/>
    <xf fontId="0" fillId="3" borderId="42" numFmtId="0" xfId="0" applyFill="1" applyBorder="1" applyAlignment="1">
      <alignment horizontal="center" textRotation="180" vertical="center"/>
    </xf>
    <xf fontId="0" fillId="3" borderId="43" numFmtId="0" xfId="0" applyFill="1" applyBorder="1" applyAlignment="1">
      <alignment horizontal="left" vertical="center"/>
    </xf>
    <xf fontId="0" fillId="0" borderId="44" numFmtId="0" xfId="0" applyBorder="1"/>
    <xf fontId="0" fillId="13" borderId="45" numFmtId="0" xfId="0" applyFill="1" applyBorder="1"/>
    <xf fontId="0" fillId="13" borderId="46" numFmtId="0" xfId="0" applyFill="1" applyBorder="1"/>
    <xf fontId="0" fillId="13" borderId="47" numFmtId="0" xfId="0" applyFill="1" applyBorder="1"/>
    <xf fontId="0" fillId="13" borderId="21" numFmtId="0" xfId="0" applyFill="1" applyBorder="1"/>
    <xf fontId="0" fillId="3" borderId="48" numFmtId="0" xfId="0" applyFill="1" applyBorder="1" applyAlignment="1">
      <alignment horizontal="center" textRotation="180" vertical="center"/>
    </xf>
    <xf fontId="0" fillId="3" borderId="49" numFmtId="0" xfId="0" applyFill="1" applyBorder="1" applyAlignment="1">
      <alignment horizontal="left" vertical="center"/>
    </xf>
    <xf fontId="0" fillId="0" borderId="50" numFmtId="0" xfId="0" applyBorder="1"/>
    <xf fontId="0" fillId="0" borderId="51" numFmtId="0" xfId="0" applyBorder="1"/>
    <xf fontId="0" fillId="0" borderId="52" numFmtId="0" xfId="0" applyBorder="1"/>
    <xf fontId="0" fillId="0" borderId="53" numFmtId="0" xfId="0" applyBorder="1"/>
    <xf fontId="0" fillId="14" borderId="51" numFmtId="0" xfId="0" applyFill="1" applyBorder="1"/>
    <xf fontId="0" fillId="0" borderId="54" numFmtId="0" xfId="0" applyBorder="1"/>
    <xf fontId="0" fillId="13" borderId="55" numFmtId="0" xfId="0" applyFill="1" applyBorder="1"/>
    <xf fontId="0" fillId="13" borderId="56" numFmtId="0" xfId="0" applyFill="1" applyBorder="1"/>
    <xf fontId="0" fillId="13" borderId="57" numFmtId="0" xfId="0" applyFill="1" applyBorder="1"/>
    <xf fontId="0" fillId="13" borderId="32" numFmtId="0" xfId="0" applyFill="1" applyBorder="1"/>
    <xf fontId="0" fillId="14" borderId="52" numFmtId="0" xfId="0" applyFill="1" applyBorder="1"/>
    <xf fontId="0" fillId="14" borderId="53" numFmtId="0" xfId="0" applyFill="1" applyBorder="1"/>
    <xf fontId="0" fillId="0" borderId="58" numFmtId="0" xfId="0" applyBorder="1"/>
    <xf fontId="0" fillId="0" borderId="59" numFmtId="0" xfId="0" applyBorder="1"/>
    <xf fontId="0" fillId="0" borderId="60" numFmtId="0" xfId="0" applyBorder="1"/>
    <xf fontId="0" fillId="0" borderId="61" numFmtId="0" xfId="0" applyBorder="1"/>
    <xf fontId="0" fillId="13" borderId="17" numFmtId="0" xfId="0" applyFill="1" applyBorder="1"/>
    <xf fontId="0" fillId="13" borderId="62" numFmtId="0" xfId="0" applyFill="1" applyBorder="1" applyAlignment="1">
      <alignment horizontal="left" vertical="center"/>
    </xf>
    <xf fontId="0" fillId="0" borderId="21" numFmtId="0" xfId="0" applyBorder="1" applyAlignment="1">
      <alignment horizontal="left" vertical="center"/>
    </xf>
    <xf fontId="0" fillId="3" borderId="63" numFmtId="0" xfId="0" applyFill="1" applyBorder="1" applyAlignment="1">
      <alignment horizontal="center" textRotation="180" vertical="center"/>
    </xf>
    <xf fontId="0" fillId="3" borderId="64" numFmtId="0" xfId="0" applyFill="1" applyBorder="1" applyAlignment="1">
      <alignment horizontal="left" vertical="center"/>
    </xf>
    <xf fontId="0" fillId="0" borderId="65" numFmtId="0" xfId="0" applyBorder="1"/>
    <xf fontId="0" fillId="0" borderId="66" numFmtId="0" xfId="0" applyBorder="1"/>
    <xf fontId="0" fillId="0" borderId="67" numFmtId="0" xfId="0" applyBorder="1"/>
    <xf fontId="0" fillId="0" borderId="68" numFmtId="0" xfId="0" applyBorder="1"/>
    <xf fontId="0" fillId="14" borderId="69" numFmtId="0" xfId="0" applyFill="1" applyBorder="1" applyAlignment="1">
      <alignment horizontal="left" vertical="center"/>
    </xf>
    <xf fontId="0" fillId="0" borderId="38" numFmtId="0" xfId="0" applyBorder="1" applyAlignment="1">
      <alignment horizontal="left" vertical="center"/>
    </xf>
  </cellXfs>
  <cellStyles count="2">
    <cellStyle name="Normal" xfId="0" builtinId="0"/>
    <cellStyle name="Pourcentage" xfId="1" builtinId="5"/>
  </cellStyles>
  <dxfs count="5">
    <dxf>
      <numFmt numFmtId="170" formatCode="dd/mm/yyyy"/>
      <alignment horizontal="left" indent="0" readingOrder="0" relativeIndent="0" shrinkToFit="0" textRotation="0" vertical="center" wrapText="0"/>
    </dxf>
    <dxf>
      <numFmt numFmtId="165" formatCode="hh:mm;@"/>
      <alignment horizontal="center"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1"/>
    </dxf>
    <dxf>
      <numFmt numFmtId="166" formatCode="0.0&quot; H&quot;;@"/>
      <alignment horizontal="center" indent="0" readingOrder="0" relativeIndent="0" shrinkToFit="0" textRotation="0" vertic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onnections" Target="connections.xml"/><Relationship  Id="rId10" Type="http://schemas.openxmlformats.org/officeDocument/2006/relationships/styles" Target="styles.xml"/><Relationship  Id="rId2" Type="http://schemas.openxmlformats.org/officeDocument/2006/relationships/sheetMetadata" Target="metadata.xml"/><Relationship  Id="rId3" Type="http://schemas.openxmlformats.org/officeDocument/2006/relationships/customXml" Target="../customXml/item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theme" Target="theme/theme1.xml"/><Relationship  Id="rId9" Type="http://schemas.openxmlformats.org/officeDocument/2006/relationships/sharedStrings" Target="sharedStrings.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a:lstStyle/>
          <a:p>
            <a:pPr>
              <a:defRPr sz="1400" b="0" spc="0">
                <a:solidFill>
                  <a:schemeClr val="tx1">
                    <a:lumMod val="65000"/>
                    <a:lumOff val="35000"/>
                  </a:schemeClr>
                </a:solidFill>
                <a:latin typeface="+mn-lt"/>
                <a:ea typeface="+mn-ea"/>
                <a:cs typeface="+mn-cs"/>
              </a:defRPr>
            </a:pPr>
            <a:r>
              <a:rPr lang="fr-CH"/>
              <a:t>Répartition des heures</a:t>
            </a:r>
            <a:endParaRPr/>
          </a:p>
        </c:rich>
      </c:tx>
      <c:layout/>
      <c:overlay val="0"/>
      <c:spPr bwMode="auto">
        <a:prstGeom prst="rect">
          <a:avLst/>
        </a:prstGeom>
        <a:noFill/>
        <a:ln>
          <a:noFill/>
        </a:ln>
      </c:spPr>
    </c:title>
    <c:autoTitleDeleted val="0"/>
    <c:plotArea>
      <c:layout/>
      <c:pieChart>
        <c:varyColors val="1"/>
        <c:ser>
          <c:idx val="0"/>
          <c:order val="0"/>
          <c:dPt>
            <c:idx val="0"/>
            <c:bubble3D val="0"/>
            <c:spPr bwMode="auto">
              <a:prstGeom prst="rect">
                <a:avLst/>
              </a:prstGeom>
              <a:solidFill>
                <a:schemeClr val="accent1"/>
              </a:solidFill>
              <a:ln w="19050">
                <a:solidFill>
                  <a:schemeClr val="lt1"/>
                </a:solidFill>
              </a:ln>
            </c:spPr>
          </c:dPt>
          <c:dPt>
            <c:idx val="1"/>
            <c:bubble3D val="0"/>
            <c:spPr bwMode="auto">
              <a:prstGeom prst="rect">
                <a:avLst/>
              </a:prstGeom>
              <a:solidFill>
                <a:schemeClr val="accent2"/>
              </a:solidFill>
              <a:ln w="19050">
                <a:solidFill>
                  <a:schemeClr val="lt1"/>
                </a:solidFill>
              </a:ln>
            </c:spPr>
          </c:dPt>
          <c:dPt>
            <c:idx val="2"/>
            <c:bubble3D val="0"/>
            <c:spPr bwMode="auto">
              <a:prstGeom prst="rect">
                <a:avLst/>
              </a:prstGeom>
              <a:solidFill>
                <a:schemeClr val="accent3"/>
              </a:solidFill>
              <a:ln w="19050">
                <a:solidFill>
                  <a:schemeClr val="lt1"/>
                </a:solidFill>
              </a:ln>
            </c:spPr>
          </c:dPt>
          <c:dPt>
            <c:idx val="3"/>
            <c:bubble3D val="0"/>
            <c:spPr bwMode="auto">
              <a:prstGeom prst="rect">
                <a:avLst/>
              </a:prstGeom>
              <a:solidFill>
                <a:schemeClr val="accent4"/>
              </a:solidFill>
              <a:ln w="19050">
                <a:solidFill>
                  <a:schemeClr val="lt1"/>
                </a:solidFill>
              </a:ln>
            </c:spPr>
          </c:dPt>
          <c:dPt>
            <c:idx val="4"/>
            <c:bubble3D val="0"/>
            <c:spPr bwMode="auto">
              <a:prstGeom prst="rect">
                <a:avLst/>
              </a:prstGeom>
              <a:solidFill>
                <a:schemeClr val="accent5"/>
              </a:solidFill>
              <a:ln w="19050">
                <a:solidFill>
                  <a:schemeClr val="lt1"/>
                </a:solidFill>
              </a:ln>
            </c:spPr>
          </c:dPt>
          <c:dPt>
            <c:idx val="5"/>
            <c:bubble3D val="0"/>
            <c:spPr bwMode="auto">
              <a:prstGeom prst="rect">
                <a:avLst/>
              </a:prstGeom>
              <a:solidFill>
                <a:schemeClr val="accent6"/>
              </a:solidFill>
              <a:ln w="19050">
                <a:solidFill>
                  <a:schemeClr val="lt1"/>
                </a:solidFill>
              </a:ln>
            </c:spPr>
          </c:dPt>
          <c:dLbls>
            <c:dLbl>
              <c:idx val="0"/>
              <c:layout/>
              <c:showBubbleSize val="0"/>
              <c:showCatName val="0"/>
              <c:showLegendKey val="0"/>
              <c:showPercent val="0"/>
              <c:showSerName val="0"/>
              <c:showVal val="1"/>
            </c:dLbl>
            <c:dLbl>
              <c:idx val="1"/>
              <c:layout/>
              <c:showBubbleSize val="0"/>
              <c:showCatName val="0"/>
              <c:showLegendKey val="0"/>
              <c:showPercent val="0"/>
              <c:showSerName val="0"/>
              <c:showVal val="1"/>
            </c:dLbl>
            <c:dLbl>
              <c:idx val="2"/>
              <c:layout/>
              <c:showBubbleSize val="0"/>
              <c:showCatName val="0"/>
              <c:showLegendKey val="0"/>
              <c:showPercent val="0"/>
              <c:showSerName val="0"/>
              <c:showVal val="1"/>
            </c:dLbl>
            <c:dLbl>
              <c:idx val="3"/>
              <c:layout/>
              <c:showBubbleSize val="0"/>
              <c:showCatName val="0"/>
              <c:showLegendKey val="0"/>
              <c:showPercent val="0"/>
              <c:showSerName val="0"/>
              <c:showVal val="1"/>
            </c:dLbl>
            <c:dLbl>
              <c:idx val="4"/>
              <c:layout/>
              <c:showBubbleSize val="0"/>
              <c:showCatName val="0"/>
              <c:showLegendKey val="0"/>
              <c:showPercent val="0"/>
              <c:showSerName val="0"/>
              <c:showVal val="1"/>
            </c:dLbl>
            <c:dLbl>
              <c:idx val="5"/>
              <c:layout/>
              <c:showBubbleSize val="0"/>
              <c:showCatName val="0"/>
              <c:showLegendKey val="0"/>
              <c:showPercent val="0"/>
              <c:showSerName val="0"/>
              <c:showVal val="1"/>
            </c:dLbl>
            <c:dLblPos val="outEnd"/>
            <c:showBubbleSize val="0"/>
            <c:showCatName val="0"/>
            <c:showLeaderLines val="0"/>
            <c:showLegendKey val="0"/>
            <c:showPercent val="0"/>
            <c:showSerName val="0"/>
            <c:showVal val="1"/>
            <c:spPr bwMode="auto">
              <a:prstGeom prst="rect">
                <a:avLst/>
              </a:prstGeom>
              <a:noFill/>
              <a:ln>
                <a:noFill/>
              </a:ln>
            </c:spPr>
            <c:txPr>
              <a:bodyPr/>
              <a:lstStyle/>
              <a:p>
                <a:pPr>
                  <a:defRPr sz="900">
                    <a:solidFill>
                      <a:schemeClr val="tx1">
                        <a:lumMod val="75000"/>
                        <a:lumOff val="25000"/>
                      </a:schemeClr>
                    </a:solidFill>
                    <a:latin typeface="+mn-lt"/>
                    <a:ea typeface="+mn-ea"/>
                    <a:cs typeface="+mn-cs"/>
                  </a:defRPr>
                </a:pPr>
                <a:endParaRPr lang="fr-FR"/>
              </a:p>
            </c:txPr>
          </c:dLbls>
          <c:cat>
            <c:strRef>
              <c:f>Journal!$J$3:$J$8</c:f>
              <c:strCache>
                <c:ptCount val="6"/>
                <c:pt idx="0">
                  <c:v>Cours</c:v>
                </c:pt>
                <c:pt idx="1">
                  <c:v>Plannification</c:v>
                </c:pt>
                <c:pt idx="2">
                  <c:v>Recherche</c:v>
                </c:pt>
                <c:pt idx="3">
                  <c:v>Maquettage</c:v>
                </c:pt>
                <c:pt idx="4">
                  <c:v>Documentation</c:v>
                </c:pt>
                <c:pt idx="5">
                  <c:v>Programmation</c:v>
                </c:pt>
              </c:strCache>
            </c:strRef>
          </c:cat>
          <c:val>
            <c:numRef>
              <c:f>Journal!$K$3:$K$8</c:f>
              <c:numCache>
                <c:formatCode>0"H"</c:formatCode>
                <c:ptCount val="6"/>
                <c:pt idx="0">
                  <c:v>3</c:v>
                </c:pt>
                <c:pt idx="1">
                  <c:v>3</c:v>
                </c:pt>
                <c:pt idx="2">
                  <c:v>9</c:v>
                </c:pt>
                <c:pt idx="3">
                  <c:v>17</c:v>
                </c:pt>
                <c:pt idx="4">
                  <c:v>37.5</c:v>
                </c:pt>
                <c:pt idx="5">
                  <c:v>53.50000000000001</c:v>
                </c:pt>
              </c:numCache>
            </c:numRef>
          </c:val>
        </c:ser>
        <c:dLbls>
          <c:dLblPos val="outEnd"/>
          <c:showBubbleSize val="0"/>
          <c:showCatName val="0"/>
          <c:showLeaderLines val="0"/>
          <c:showLegendKey val="0"/>
          <c:showPercent val="0"/>
          <c:showSerName val="0"/>
          <c:showVal val="1"/>
        </c:dLbls>
        <c:firstSliceAng val="0"/>
      </c:pieChart>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c:spPr>
  <c:txPr>
    <a:bodyPr/>
    <a:lstStyle/>
    <a:p>
      <a:pPr>
        <a:defRPr sz="900">
          <a:solidFill>
            <a:schemeClr val="tx1"/>
          </a:solidFill>
          <a:latin typeface="+mn-lt"/>
          <a:ea typeface="+mn-ea"/>
          <a:cs typeface="+mn-cs"/>
        </a:defRPr>
      </a:pPr>
      <a:endParaRPr lang="fr-FR"/>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a:t>Répartition du nombre d'heure</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790"/>
          <c:y val="0.138910"/>
          <c:w val="0.852240"/>
          <c:h val="0.590600"/>
        </c:manualLayout>
      </c:layout>
      <c:barChart>
        <c:barDir val="col"/>
        <c:grouping val="clustered"/>
        <c:varyColors val="0"/>
        <c:ser>
          <c:idx val="0"/>
          <c:order val="0"/>
          <c:tx>
            <c:strRef>
              <c:f>SommeParJours!$B$1</c:f>
            </c:strRef>
          </c:tx>
          <c:spPr bwMode="auto">
            <a:prstGeom prst="rect">
              <a:avLst/>
            </a:prstGeom>
            <a:solidFill>
              <a:schemeClr val="accent1"/>
            </a:solidFill>
            <a:ln>
              <a:noFill/>
            </a:ln>
            <a:effectLst/>
          </c:spPr>
          <c:invertIfNegative val="0"/>
          <c:cat>
            <c:strRef>
              <c:f>SommeParJours!$A$2:$A$27</c:f>
              <c:strCache>
                <c:ptCount val="26"/>
                <c:pt idx="0">
                  <c:v>20.01.2026</c:v>
                </c:pt>
                <c:pt idx="1">
                  <c:v>27.01.2026</c:v>
                </c:pt>
                <c:pt idx="2">
                  <c:v>30.01.2026</c:v>
                </c:pt>
                <c:pt idx="3">
                  <c:v>03.02.2026</c:v>
                </c:pt>
                <c:pt idx="4">
                  <c:v>04.02.2026</c:v>
                </c:pt>
                <c:pt idx="5">
                  <c:v>06.02.2026</c:v>
                </c:pt>
                <c:pt idx="6">
                  <c:v>08.02.2026</c:v>
                </c:pt>
                <c:pt idx="7">
                  <c:v>09.02.2026</c:v>
                </c:pt>
                <c:pt idx="8">
                  <c:v>10.02.2026</c:v>
                </c:pt>
                <c:pt idx="9">
                  <c:v>12.02.2026</c:v>
                </c:pt>
                <c:pt idx="10">
                  <c:v>13.02.2026</c:v>
                </c:pt>
                <c:pt idx="11">
                  <c:v>24.02.2026</c:v>
                </c:pt>
                <c:pt idx="12">
                  <c:v>03.03.2026</c:v>
                </c:pt>
                <c:pt idx="13">
                  <c:v>05.03.2026</c:v>
                </c:pt>
                <c:pt idx="14">
                  <c:v>3/6/2026</c:v>
                </c:pt>
                <c:pt idx="15">
                  <c:v>3/7/2026</c:v>
                </c:pt>
                <c:pt idx="16">
                  <c:v>3/10/2026</c:v>
                </c:pt>
                <c:pt idx="17">
                  <c:v>3/12/2026</c:v>
                </c:pt>
                <c:pt idx="18">
                  <c:v>3/14/2026</c:v>
                </c:pt>
                <c:pt idx="19">
                  <c:v>3/15/2026</c:v>
                </c:pt>
                <c:pt idx="20">
                  <c:v>3/16/2026</c:v>
                </c:pt>
                <c:pt idx="21">
                  <c:v>3/17/2026</c:v>
                </c:pt>
                <c:pt idx="22">
                  <c:v>3/18/2026</c:v>
                </c:pt>
                <c:pt idx="23">
                  <c:v>3/19/2026</c:v>
                </c:pt>
                <c:pt idx="24">
                  <c:v>3/21/2026</c:v>
                </c:pt>
                <c:pt idx="25">
                  <c:v>3/22/2026</c:v>
                </c:pt>
              </c:strCache>
            </c:strRef>
          </c:cat>
          <c:val>
            <c:numRef>
              <c:f>SommeParJours!$B$2:$B$27</c:f>
              <c:numCache>
                <c:formatCode>h:mm;@</c:formatCode>
                <c:ptCount val="26"/>
                <c:pt idx="0">
                  <c:v>0.16666666666666666</c:v>
                </c:pt>
                <c:pt idx="1">
                  <c:v>0.20833333333333331</c:v>
                </c:pt>
                <c:pt idx="2">
                  <c:v>0.29166666666666663</c:v>
                </c:pt>
                <c:pt idx="3">
                  <c:v>0.25</c:v>
                </c:pt>
                <c:pt idx="4">
                  <c:v>0.20833333333333331</c:v>
                </c:pt>
                <c:pt idx="5">
                  <c:v>0.29166666666666663</c:v>
                </c:pt>
                <c:pt idx="6">
                  <c:v>0.08333333333333333</c:v>
                </c:pt>
                <c:pt idx="7">
                  <c:v>0.041666666666666664</c:v>
                </c:pt>
                <c:pt idx="8">
                  <c:v>0.29166666666666663</c:v>
                </c:pt>
                <c:pt idx="9">
                  <c:v>0.08333333333333333</c:v>
                </c:pt>
                <c:pt idx="10">
                  <c:v>0.0625</c:v>
                </c:pt>
                <c:pt idx="11">
                  <c:v>0.125</c:v>
                </c:pt>
                <c:pt idx="12">
                  <c:v>0.20833333333333331</c:v>
                </c:pt>
                <c:pt idx="13">
                  <c:v>0.1875</c:v>
                </c:pt>
                <c:pt idx="14">
                  <c:v>0.20833333333333334</c:v>
                </c:pt>
                <c:pt idx="15">
                  <c:v>0.25</c:v>
                </c:pt>
                <c:pt idx="16">
                  <c:v>0.2916666666666667</c:v>
                </c:pt>
                <c:pt idx="17">
                  <c:v>0.08333333333333333</c:v>
                </c:pt>
                <c:pt idx="18">
                  <c:v>0.1875</c:v>
                </c:pt>
                <c:pt idx="19">
                  <c:v>0.20833333333333334</c:v>
                </c:pt>
                <c:pt idx="20">
                  <c:v>0.14583333333333334</c:v>
                </c:pt>
                <c:pt idx="21">
                  <c:v>0.16666666666666666</c:v>
                </c:pt>
                <c:pt idx="22">
                  <c:v>0.20833333333333334</c:v>
                </c:pt>
                <c:pt idx="23">
                  <c:v>0.3333333333333333</c:v>
                </c:pt>
                <c:pt idx="24">
                  <c:v>0.20833333333333331</c:v>
                </c:pt>
                <c:pt idx="25">
                  <c:v>0.375</c:v>
                </c:pt>
              </c:numCache>
            </c:numRef>
          </c:val>
        </c:ser>
        <c:dLbls>
          <c:showBubbleSize val="0"/>
          <c:showCatName val="0"/>
          <c:showLeaderLines val="0"/>
          <c:showLegendKey val="0"/>
          <c:showPercent val="0"/>
          <c:showSerName val="0"/>
          <c:showVal val="0"/>
        </c:dLbls>
        <c:gapWidth val="150"/>
        <c:axId val="745489864"/>
        <c:axId val="745490224"/>
      </c:barChart>
      <c:catAx>
        <c:axId val="745489864"/>
        <c:scaling>
          <c:orientation val="minMax"/>
        </c:scaling>
        <c:delete val="0"/>
        <c:axPos val="b"/>
        <c:title>
          <c:tx>
            <c:rich>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r>
                  <a:rPr lang="fr-CH"/>
                  <a:t>Date</a:t>
                </a:r>
                <a:endParaRPr/>
              </a:p>
            </c:rich>
          </c:tx>
          <c:layout/>
          <c:overlay val="0"/>
          <c:spPr bwMode="auto">
            <a:prstGeom prst="rect">
              <a:avLst/>
            </a:prstGeom>
            <a:noFill/>
            <a:ln>
              <a:noFill/>
            </a:ln>
            <a:effectLst/>
          </c:spPr>
          <c:txPr>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endParaRPr lang="fr-FR"/>
            </a:p>
          </c:txPr>
        </c:title>
        <c:numFmt formatCode="dd/mm" sourceLinked="0"/>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a:solidFill>
                  <a:schemeClr val="tx1">
                    <a:lumMod val="65000"/>
                    <a:lumOff val="35000"/>
                  </a:schemeClr>
                </a:solidFill>
                <a:latin typeface="+mn-lt"/>
                <a:ea typeface="+mn-ea"/>
                <a:cs typeface="+mn-cs"/>
              </a:defRPr>
            </a:pPr>
            <a:endParaRPr lang="fr-FR"/>
          </a:p>
        </c:txPr>
        <c:crossAx val="745490224"/>
        <c:crosses val="autoZero"/>
        <c:auto val="0"/>
        <c:lblAlgn val="ctr"/>
        <c:lblOffset val="100"/>
        <c:noMultiLvlLbl val="1"/>
      </c:catAx>
      <c:valAx>
        <c:axId val="745490224"/>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r>
                  <a:rPr lang="fr-CH" sz="900"/>
                  <a:t>Nombre d'heures</a:t>
                </a:r>
                <a:endParaRPr lang="fr-CH"/>
              </a:p>
            </c:rich>
          </c:tx>
          <c:layout>
            <c:manualLayout>
              <c:xMode val="edge"/>
              <c:yMode val="edge"/>
              <c:x val="0.015668"/>
              <c:y val="0.322494"/>
            </c:manualLayout>
          </c:layout>
          <c:overlay val="0"/>
          <c:spPr bwMode="auto">
            <a:prstGeom prst="rect">
              <a:avLst/>
            </a:prstGeom>
            <a:noFill/>
            <a:ln>
              <a:noFill/>
            </a:ln>
            <a:effectLst/>
          </c:spPr>
          <c:txPr>
            <a:bodyPr rot="-54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CH"/>
            </a:p>
          </c:txPr>
        </c:title>
        <c:numFmt formatCode="h:mm;@"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FR"/>
          </a:p>
        </c:txPr>
        <c:crossAx val="745489864"/>
        <c:crosses val="autoZero"/>
        <c:crossBetween val="between"/>
      </c:valAx>
      <c:spPr bwMode="auto">
        <a:prstGeom prst="rect">
          <a:avLst/>
        </a:prstGeom>
        <a:noFill/>
        <a:ln>
          <a:noFill/>
        </a:ln>
        <a:effectLst/>
      </c:spPr>
    </c:plotArea>
    <c:legend>
      <c:legendPos val="b"/>
      <c:layout>
        <c:manualLayout>
          <c:xMode val="edge"/>
          <c:yMode val="edge"/>
          <c:x val="0.014809"/>
          <c:y val="0.925561"/>
          <c:w val="0.158631"/>
          <c:h val="0.062167"/>
        </c:manualLayout>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F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5</xdr:col>
      <xdr:colOff>157518</xdr:colOff>
      <xdr:row>12</xdr:row>
      <xdr:rowOff>99472</xdr:rowOff>
    </xdr:from>
    <xdr:to>
      <xdr:col>8</xdr:col>
      <xdr:colOff>14815</xdr:colOff>
      <xdr:row>25</xdr:row>
      <xdr:rowOff>131232</xdr:rowOff>
    </xdr:to>
    <xdr:graphicFrame>
      <xdr:nvGraphicFramePr>
        <xdr:cNvPr id="605939511" name="Graphique 605939510"/>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3</xdr:col>
      <xdr:colOff>68108</xdr:colOff>
      <xdr:row>0</xdr:row>
      <xdr:rowOff>70845</xdr:rowOff>
    </xdr:from>
    <xdr:to>
      <xdr:col>10</xdr:col>
      <xdr:colOff>701125</xdr:colOff>
      <xdr:row>21</xdr:row>
      <xdr:rowOff>9885</xdr:rowOff>
    </xdr:to>
    <xdr:graphicFrame>
      <xdr:nvGraphicFramePr>
        <xdr:cNvPr id="2" name="Graphique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Journal" ref="B2:E54">
  <autoFilter ref="B2:E54"/>
  <tableColumns count="4">
    <tableColumn id="1" name="date" dataDxfId="0"/>
    <tableColumn id="2" name="Temps" dataDxfId="1"/>
    <tableColumn id="3" name="type de travail" dataDxfId="2"/>
    <tableColumn id="4" name="description" dataDxfId="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ypes" ref="G2:H11">
  <autoFilter ref="G2:H11"/>
  <tableColumns count="2">
    <tableColumn id="1" name="type de travail"/>
    <tableColumn id="2" name="somme" dataDxfId="4"/>
  </tableColumns>
  <tableStyleInfo name="TableStyleMedium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4"/>
    <outlinePr applyStyles="0" summaryBelow="1" summaryRight="1" showOutlineSymbols="1"/>
    <pageSetUpPr autoPageBreaks="1" fitToPage="0"/>
  </sheetPr>
  <sheetViews>
    <sheetView topLeftCell="A44" zoomScale="130" workbookViewId="0">
      <selection activeCell="C48" activeCellId="0" sqref="C48"/>
    </sheetView>
  </sheetViews>
  <sheetFormatPr baseColWidth="10" defaultColWidth="8.88671875" defaultRowHeight="14.25"/>
  <cols>
    <col customWidth="1" min="1" max="1" width="2"/>
    <col customWidth="1" min="2" max="2" width="11.33203125"/>
    <col customWidth="1" min="3" max="3" style="1" width="7.6640625"/>
    <col bestFit="1" customWidth="1" min="4" max="4" width="15.21875"/>
    <col customWidth="1" min="5" max="5" style="2" width="56.109375"/>
    <col customWidth="1" min="6" max="6" width="2.88671875"/>
    <col customWidth="1" min="7" max="7" width="27.44140625"/>
    <col customWidth="1" min="8" max="8" width="10.21875"/>
    <col bestFit="1" customWidth="1" min="9" max="9" width="10.109375"/>
  </cols>
  <sheetData>
    <row r="2">
      <c r="B2" t="s">
        <v>0</v>
      </c>
      <c r="C2" s="1" t="s">
        <v>1</v>
      </c>
      <c r="D2" t="s">
        <v>2</v>
      </c>
      <c r="E2" s="2" t="s">
        <v>3</v>
      </c>
      <c r="G2" t="s">
        <v>2</v>
      </c>
      <c r="H2" s="3" t="s">
        <v>4</v>
      </c>
      <c r="J2" s="4"/>
      <c r="K2" s="4"/>
    </row>
    <row r="3">
      <c r="B3" s="5" t="s">
        <v>5</v>
      </c>
      <c r="C3" s="6">
        <v>0.125</v>
      </c>
      <c r="D3" s="7" t="s">
        <v>6</v>
      </c>
      <c r="E3" s="8" t="s">
        <v>7</v>
      </c>
      <c r="G3" s="9" t="s">
        <v>6</v>
      </c>
      <c r="H3" s="10">
        <f>SUMIF(Journal[type de travail],types[[#This Row],[type de travail]],Journal[Temps])*24</f>
        <v>3</v>
      </c>
      <c r="I3" s="11">
        <f>types[[#This Row],[somme]]/$H$11</f>
        <v>2.3195876288659791e-002</v>
      </c>
      <c r="J3" s="12" t="str" cm="1">
        <f t="array" ref="J3:J9">_xlfn._xlws.FILTER(G3:G10,H3:H10&gt;0)</f>
        <v>Cours</v>
      </c>
      <c r="K3" s="13" cm="1">
        <f t="array" ref="K3:K9">_xlfn._xlws.FILTER(H3:H10,H3:H10&gt;0)</f>
        <v>3</v>
      </c>
    </row>
    <row r="4">
      <c r="B4" s="5" t="s">
        <v>5</v>
      </c>
      <c r="C4" s="6">
        <v>4.1666666666666664e-002</v>
      </c>
      <c r="D4" s="7" t="s">
        <v>8</v>
      </c>
      <c r="E4" s="8" t="s">
        <v>9</v>
      </c>
      <c r="G4" t="s">
        <v>10</v>
      </c>
      <c r="H4" s="10">
        <f>SUMIF(Journal[type de travail],types[[#This Row],[type de travail]],Journal[Temps])*24</f>
        <v>3</v>
      </c>
      <c r="I4" s="11">
        <f>types[[#This Row],[somme]]/$H$11</f>
        <v>2.3195876288659791e-002</v>
      </c>
      <c r="J4" s="4" t="str">
        <f/>
        <v>Plannification</v>
      </c>
      <c r="K4" s="13">
        <f/>
        <v>3</v>
      </c>
    </row>
    <row r="5" ht="28.5">
      <c r="B5" s="5" t="s">
        <v>11</v>
      </c>
      <c r="C5" s="6">
        <v>0.125</v>
      </c>
      <c r="D5" s="7" t="s">
        <v>12</v>
      </c>
      <c r="E5" s="8" t="s">
        <v>13</v>
      </c>
      <c r="G5" s="9" t="s">
        <v>8</v>
      </c>
      <c r="H5" s="10">
        <f>SUMIF(Journal[type de travail],types[[#This Row],[type de travail]],Journal[Temps])*24</f>
        <v>9</v>
      </c>
      <c r="I5" s="11">
        <f>types[[#This Row],[somme]]/$H$11</f>
        <v>6.958762886597937e-002</v>
      </c>
      <c r="J5" s="4" t="str">
        <f/>
        <v>Recherche</v>
      </c>
      <c r="K5" s="13">
        <f/>
        <v>9</v>
      </c>
    </row>
    <row r="6">
      <c r="B6" s="5" t="s">
        <v>11</v>
      </c>
      <c r="C6" s="6">
        <v>4.1666666666666664e-002</v>
      </c>
      <c r="D6" s="7" t="s">
        <v>8</v>
      </c>
      <c r="E6" s="8" t="s">
        <v>14</v>
      </c>
      <c r="G6" s="9" t="s">
        <v>15</v>
      </c>
      <c r="H6" s="10">
        <f>SUMIF(Journal[type de travail],types[[#This Row],[type de travail]],Journal[Temps])*24</f>
        <v>17</v>
      </c>
      <c r="I6" s="11">
        <f>types[[#This Row],[somme]]/$H$11</f>
        <v>0.13144329896907214</v>
      </c>
      <c r="J6" s="4" t="str">
        <f/>
        <v>Maquettage</v>
      </c>
      <c r="K6" s="13">
        <f/>
        <v>17</v>
      </c>
    </row>
    <row r="7">
      <c r="B7" s="5" t="s">
        <v>11</v>
      </c>
      <c r="C7" s="6">
        <v>4.1666666666666664e-002</v>
      </c>
      <c r="D7" s="7" t="s">
        <v>8</v>
      </c>
      <c r="E7" s="8" t="s">
        <v>16</v>
      </c>
      <c r="G7" s="9" t="s">
        <v>12</v>
      </c>
      <c r="H7" s="10">
        <f>SUMIF(Journal[type de travail],types[[#This Row],[type de travail]],Journal[Temps])*24</f>
        <v>37.5</v>
      </c>
      <c r="I7" s="11">
        <f>types[[#This Row],[somme]]/$H$11</f>
        <v>0.28994845360824739</v>
      </c>
      <c r="J7" s="4" t="str">
        <f/>
        <v>Documentation</v>
      </c>
      <c r="K7" s="13">
        <f/>
        <v>37.5</v>
      </c>
    </row>
    <row r="8" ht="28.5">
      <c r="B8" s="5" t="s">
        <v>17</v>
      </c>
      <c r="C8" s="6">
        <v>0.125</v>
      </c>
      <c r="D8" s="7" t="s">
        <v>8</v>
      </c>
      <c r="E8" s="8" t="s">
        <v>18</v>
      </c>
      <c r="G8" s="9" t="s">
        <v>19</v>
      </c>
      <c r="H8" s="10">
        <f>SUMIF(Journal[type de travail],types[[#This Row],[type de travail]],Journal[Temps])*24</f>
        <v>58.500000000000014</v>
      </c>
      <c r="I8" s="11">
        <f>types[[#This Row],[somme]]/$H$11</f>
        <v>0.45231958762886604</v>
      </c>
      <c r="J8" s="4" t="str">
        <f/>
        <v>Programmation</v>
      </c>
      <c r="K8" s="13">
        <f/>
        <v>58.500000000000014</v>
      </c>
    </row>
    <row r="9">
      <c r="B9" s="5" t="s">
        <v>17</v>
      </c>
      <c r="C9" s="6">
        <v>0.16666666666666666</v>
      </c>
      <c r="D9" s="7" t="s">
        <v>15</v>
      </c>
      <c r="E9" s="8" t="s">
        <v>20</v>
      </c>
      <c r="G9" s="9" t="s">
        <v>21</v>
      </c>
      <c r="H9" s="10">
        <f>SUMIF(Journal[type de travail],types[[#This Row],[type de travail]],Journal[Temps])*24</f>
        <v>1.3333333333333333</v>
      </c>
      <c r="I9" s="11">
        <f>types[[#This Row],[somme]]/$H$11</f>
        <v>1.0309278350515462e-002</v>
      </c>
      <c r="J9" s="4" t="str">
        <f/>
        <v>Tests</v>
      </c>
      <c r="K9" s="14">
        <f/>
        <v>1.3333333333333333</v>
      </c>
    </row>
    <row r="10">
      <c r="B10" s="5" t="s">
        <v>22</v>
      </c>
      <c r="C10" s="6">
        <v>8.3333333333333329e-002</v>
      </c>
      <c r="D10" s="7" t="s">
        <v>12</v>
      </c>
      <c r="E10" s="8" t="s">
        <v>23</v>
      </c>
      <c r="G10" s="15" t="s">
        <v>24</v>
      </c>
      <c r="H10" s="16">
        <f>SUMIF(Journal[type de travail],types[[#This Row],[type de travail]],Journal[Temps])*24</f>
        <v>0</v>
      </c>
      <c r="I10" s="11">
        <f>types[[#This Row],[somme]]/$H$11</f>
        <v>0</v>
      </c>
      <c r="J10" s="4"/>
      <c r="K10" s="4"/>
    </row>
    <row r="11" ht="28.5">
      <c r="B11" s="5" t="s">
        <v>22</v>
      </c>
      <c r="C11" s="6">
        <v>4.1666666666666664e-002</v>
      </c>
      <c r="D11" s="7" t="s">
        <v>12</v>
      </c>
      <c r="E11" s="8" t="s">
        <v>25</v>
      </c>
      <c r="G11" s="7" t="s">
        <v>26</v>
      </c>
      <c r="H11" s="10">
        <f>SUM(H3:H10)</f>
        <v>129.33333333333334</v>
      </c>
      <c r="J11" s="4"/>
      <c r="K11" s="4"/>
    </row>
    <row r="12">
      <c r="B12" s="5" t="s">
        <v>22</v>
      </c>
      <c r="C12" s="6">
        <v>4.1666666666666664e-002</v>
      </c>
      <c r="D12" s="7" t="s">
        <v>10</v>
      </c>
      <c r="E12" s="8" t="s">
        <v>27</v>
      </c>
      <c r="H12" s="10"/>
    </row>
    <row r="13" ht="42.75">
      <c r="B13" s="5" t="s">
        <v>22</v>
      </c>
      <c r="C13" s="6">
        <v>8.3333333333333329e-002</v>
      </c>
      <c r="D13" s="7" t="s">
        <v>12</v>
      </c>
      <c r="E13" s="8" t="s">
        <v>28</v>
      </c>
      <c r="H13" s="10"/>
    </row>
    <row r="14" ht="28.5">
      <c r="B14" s="5" t="s">
        <v>29</v>
      </c>
      <c r="C14" s="6">
        <v>8.3333333333333329e-002</v>
      </c>
      <c r="D14" s="7" t="s">
        <v>12</v>
      </c>
      <c r="E14" s="8" t="s">
        <v>30</v>
      </c>
    </row>
    <row r="15" ht="28.5">
      <c r="B15" s="5" t="s">
        <v>29</v>
      </c>
      <c r="C15" s="6">
        <v>0.125</v>
      </c>
      <c r="D15" s="7" t="s">
        <v>12</v>
      </c>
      <c r="E15" s="8" t="s">
        <v>31</v>
      </c>
    </row>
    <row r="16">
      <c r="B16" s="5" t="s">
        <v>32</v>
      </c>
      <c r="C16" s="6">
        <v>0.125</v>
      </c>
      <c r="D16" s="7" t="s">
        <v>12</v>
      </c>
      <c r="E16" s="8" t="s">
        <v>33</v>
      </c>
    </row>
    <row r="17" ht="28.5">
      <c r="B17" s="5" t="s">
        <v>32</v>
      </c>
      <c r="C17" s="6">
        <v>0.16666666666666666</v>
      </c>
      <c r="D17" s="7" t="s">
        <v>12</v>
      </c>
      <c r="E17" s="8" t="s">
        <v>34</v>
      </c>
    </row>
    <row r="18">
      <c r="B18" s="5" t="s">
        <v>35</v>
      </c>
      <c r="C18" s="6">
        <v>8.3333333333333329e-002</v>
      </c>
      <c r="D18" s="7" t="s">
        <v>10</v>
      </c>
      <c r="E18" s="8" t="s">
        <v>36</v>
      </c>
    </row>
    <row r="19">
      <c r="B19" s="5" t="s">
        <v>37</v>
      </c>
      <c r="C19" s="6">
        <v>4.1666666666666664e-002</v>
      </c>
      <c r="D19" s="7" t="s">
        <v>12</v>
      </c>
      <c r="E19" s="8" t="s">
        <v>38</v>
      </c>
    </row>
    <row r="20">
      <c r="B20" s="5" t="s">
        <v>39</v>
      </c>
      <c r="C20" s="6">
        <v>8.3333333333333329e-002</v>
      </c>
      <c r="D20" s="7" t="s">
        <v>19</v>
      </c>
      <c r="E20" s="8" t="s">
        <v>40</v>
      </c>
    </row>
    <row r="21">
      <c r="B21" s="5" t="s">
        <v>39</v>
      </c>
      <c r="C21" s="6">
        <v>8.3333333333333329e-002</v>
      </c>
      <c r="D21" s="7" t="s">
        <v>15</v>
      </c>
      <c r="E21" s="8" t="s">
        <v>41</v>
      </c>
    </row>
    <row r="22">
      <c r="B22" s="5" t="s">
        <v>39</v>
      </c>
      <c r="C22" s="6">
        <v>0.125</v>
      </c>
      <c r="D22" s="7" t="s">
        <v>15</v>
      </c>
      <c r="E22" s="8" t="s">
        <v>42</v>
      </c>
    </row>
    <row r="23">
      <c r="B23" s="5" t="s">
        <v>43</v>
      </c>
      <c r="C23" s="6">
        <v>8.3333333333333329e-002</v>
      </c>
      <c r="D23" s="7" t="s">
        <v>15</v>
      </c>
      <c r="E23" s="8" t="s">
        <v>44</v>
      </c>
    </row>
    <row r="24">
      <c r="B24" s="5" t="s">
        <v>45</v>
      </c>
      <c r="C24" s="6">
        <v>6.25e-002</v>
      </c>
      <c r="D24" s="7" t="s">
        <v>15</v>
      </c>
      <c r="E24" s="8" t="s">
        <v>46</v>
      </c>
    </row>
    <row r="25">
      <c r="B25" s="5" t="s">
        <v>47</v>
      </c>
      <c r="C25" s="6">
        <v>0.125</v>
      </c>
      <c r="D25" s="7" t="s">
        <v>15</v>
      </c>
      <c r="E25" s="8" t="s">
        <v>48</v>
      </c>
    </row>
    <row r="26">
      <c r="B26" s="5" t="s">
        <v>49</v>
      </c>
      <c r="C26" s="6">
        <v>0.125</v>
      </c>
      <c r="D26" s="7" t="s">
        <v>19</v>
      </c>
      <c r="E26" s="8" t="s">
        <v>50</v>
      </c>
    </row>
    <row r="27">
      <c r="B27" s="5" t="s">
        <v>49</v>
      </c>
      <c r="C27" s="6">
        <v>8.3333333333333329e-002</v>
      </c>
      <c r="D27" s="7" t="s">
        <v>12</v>
      </c>
      <c r="E27" s="8" t="s">
        <v>51</v>
      </c>
    </row>
    <row r="28" ht="28.5">
      <c r="B28" s="5" t="s">
        <v>52</v>
      </c>
      <c r="C28" s="6">
        <v>6.25e-002</v>
      </c>
      <c r="D28" s="7" t="s">
        <v>15</v>
      </c>
      <c r="E28" s="8" t="s">
        <v>53</v>
      </c>
    </row>
    <row r="29">
      <c r="B29" s="5" t="s">
        <v>52</v>
      </c>
      <c r="C29" s="6">
        <v>0.125</v>
      </c>
      <c r="D29" s="7" t="s">
        <v>12</v>
      </c>
      <c r="E29" s="8" t="s">
        <v>54</v>
      </c>
    </row>
    <row r="30" ht="42.75">
      <c r="B30" s="5">
        <v>46087</v>
      </c>
      <c r="C30" s="6">
        <v>0.16666666666666666</v>
      </c>
      <c r="D30" s="7" t="s">
        <v>19</v>
      </c>
      <c r="E30" s="8" t="s">
        <v>55</v>
      </c>
    </row>
    <row r="31" ht="28.5">
      <c r="B31" s="5">
        <v>46087</v>
      </c>
      <c r="C31" s="6">
        <v>2.0833333333333332e-002</v>
      </c>
      <c r="D31" s="7" t="s">
        <v>21</v>
      </c>
      <c r="E31" s="8" t="s">
        <v>56</v>
      </c>
    </row>
    <row r="32" ht="57">
      <c r="B32" s="5">
        <v>46088</v>
      </c>
      <c r="C32" s="6">
        <v>0.25</v>
      </c>
      <c r="D32" s="7" t="s">
        <v>19</v>
      </c>
      <c r="E32" s="8" t="s">
        <v>57</v>
      </c>
    </row>
    <row r="33">
      <c r="B33" s="5">
        <v>46091</v>
      </c>
      <c r="C33" s="6">
        <v>2.0833333333333332e-002</v>
      </c>
      <c r="D33" s="7" t="s">
        <v>12</v>
      </c>
      <c r="E33" s="8" t="s">
        <v>58</v>
      </c>
    </row>
    <row r="34" ht="28.5">
      <c r="B34" s="5">
        <v>46091</v>
      </c>
      <c r="C34" s="6">
        <v>0.10416666666666667</v>
      </c>
      <c r="D34" s="7" t="s">
        <v>12</v>
      </c>
      <c r="E34" s="8" t="s">
        <v>59</v>
      </c>
    </row>
    <row r="35">
      <c r="B35" s="5">
        <v>46091</v>
      </c>
      <c r="C35" s="6">
        <v>2.0833333333333332e-002</v>
      </c>
      <c r="D35" s="7" t="s">
        <v>19</v>
      </c>
      <c r="E35" s="8" t="s">
        <v>60</v>
      </c>
    </row>
    <row r="36">
      <c r="B36" s="5">
        <v>46091</v>
      </c>
      <c r="C36" s="6">
        <v>0.14583333333333334</v>
      </c>
      <c r="D36" s="7" t="s">
        <v>19</v>
      </c>
      <c r="E36" s="8" t="s">
        <v>61</v>
      </c>
    </row>
    <row r="37" ht="28.5">
      <c r="B37" s="5">
        <v>46093</v>
      </c>
      <c r="C37" s="6">
        <v>8.3333333333333329e-002</v>
      </c>
      <c r="D37" s="7" t="s">
        <v>19</v>
      </c>
      <c r="E37" s="8" t="s">
        <v>62</v>
      </c>
    </row>
    <row r="38" ht="57">
      <c r="B38" s="5">
        <v>46095</v>
      </c>
      <c r="C38" s="6">
        <v>0.1875</v>
      </c>
      <c r="D38" s="7" t="s">
        <v>19</v>
      </c>
      <c r="E38" s="8" t="s">
        <v>63</v>
      </c>
    </row>
    <row r="39" ht="28.5">
      <c r="B39" s="5">
        <v>46087</v>
      </c>
      <c r="C39" s="6">
        <v>2.0833333333333332e-002</v>
      </c>
      <c r="D39" s="7" t="s">
        <v>21</v>
      </c>
      <c r="E39" s="8" t="s">
        <v>56</v>
      </c>
      <c r="H39" s="17"/>
      <c r="I39" s="18"/>
      <c r="J39" s="19"/>
    </row>
    <row r="40">
      <c r="B40" s="5">
        <v>46096</v>
      </c>
      <c r="C40" s="6">
        <v>0.10416666666666667</v>
      </c>
      <c r="D40" s="7" t="s">
        <v>12</v>
      </c>
      <c r="E40" s="8" t="s">
        <v>64</v>
      </c>
    </row>
    <row r="41" ht="42.75">
      <c r="B41" s="5">
        <v>46096</v>
      </c>
      <c r="C41" s="6">
        <v>0.10416666666666667</v>
      </c>
      <c r="D41" s="7" t="s">
        <v>19</v>
      </c>
      <c r="E41" s="8" t="s">
        <v>65</v>
      </c>
    </row>
    <row r="42" ht="42.75">
      <c r="B42" s="5">
        <v>46097</v>
      </c>
      <c r="C42" s="6">
        <v>0.14583333333333334</v>
      </c>
      <c r="D42" s="7" t="s">
        <v>19</v>
      </c>
      <c r="E42" s="8" t="s">
        <v>66</v>
      </c>
    </row>
    <row r="43" ht="28.5">
      <c r="B43" s="5">
        <v>46098</v>
      </c>
      <c r="C43" s="6">
        <v>0.16666666666666666</v>
      </c>
      <c r="D43" s="7" t="s">
        <v>19</v>
      </c>
      <c r="E43" s="8" t="s">
        <v>67</v>
      </c>
    </row>
    <row r="44" ht="57">
      <c r="B44" s="5">
        <v>46099</v>
      </c>
      <c r="C44" s="6">
        <v>0.20833333333333334</v>
      </c>
      <c r="D44" s="7" t="s">
        <v>19</v>
      </c>
      <c r="E44" s="8" t="s">
        <v>68</v>
      </c>
    </row>
    <row r="45">
      <c r="B45" s="5">
        <v>46100</v>
      </c>
      <c r="C45" s="6">
        <v>4.1666666666666664e-002</v>
      </c>
      <c r="D45" s="7" t="s">
        <v>8</v>
      </c>
      <c r="E45" s="8" t="s">
        <v>69</v>
      </c>
    </row>
    <row r="46">
      <c r="B46" s="5">
        <v>46100</v>
      </c>
      <c r="C46" s="6">
        <v>4.1666666666666664e-002</v>
      </c>
      <c r="D46" s="7" t="s">
        <v>19</v>
      </c>
      <c r="E46" s="8" t="s">
        <v>70</v>
      </c>
    </row>
    <row r="47" ht="42.75">
      <c r="B47" s="5">
        <v>46100</v>
      </c>
      <c r="C47" s="6">
        <v>0.25</v>
      </c>
      <c r="D47" s="7" t="s">
        <v>12</v>
      </c>
      <c r="E47" s="8" t="s">
        <v>71</v>
      </c>
    </row>
    <row r="48" ht="28.5">
      <c r="B48" s="20">
        <v>46102</v>
      </c>
      <c r="C48" s="21">
        <v>8.3333333333333329e-002</v>
      </c>
      <c r="D48" s="7" t="s">
        <v>8</v>
      </c>
      <c r="E48" s="8" t="s">
        <v>72</v>
      </c>
    </row>
    <row r="49" ht="42.75">
      <c r="B49" s="20">
        <v>46102</v>
      </c>
      <c r="C49" s="21">
        <v>0.125</v>
      </c>
      <c r="D49" s="7" t="s">
        <v>19</v>
      </c>
      <c r="E49" s="8" t="s">
        <v>73</v>
      </c>
    </row>
    <row r="50" ht="57">
      <c r="B50" s="20">
        <v>46103</v>
      </c>
      <c r="C50" s="21">
        <v>0.16666666666666666</v>
      </c>
      <c r="D50" s="7" t="s">
        <v>19</v>
      </c>
      <c r="E50" s="8" t="s">
        <v>74</v>
      </c>
    </row>
    <row r="51" ht="28.5">
      <c r="B51" s="20">
        <v>46103</v>
      </c>
      <c r="C51" s="21">
        <v>0.20833333333333334</v>
      </c>
      <c r="D51" s="7" t="s">
        <v>19</v>
      </c>
      <c r="E51" s="8" t="s">
        <v>75</v>
      </c>
      <c r="G51" t="s">
        <v>76</v>
      </c>
    </row>
    <row r="52" ht="28.5">
      <c r="B52" s="20">
        <v>46104</v>
      </c>
      <c r="C52" s="21">
        <v>1.3888888888888888e-002</v>
      </c>
      <c r="D52" s="7" t="s">
        <v>21</v>
      </c>
      <c r="E52" s="22" t="s">
        <v>77</v>
      </c>
    </row>
    <row r="53">
      <c r="B53" s="20">
        <v>46117</v>
      </c>
      <c r="C53" s="21">
        <v>0.125</v>
      </c>
      <c r="D53" s="23" t="s">
        <v>19</v>
      </c>
      <c r="E53" s="22" t="s">
        <v>78</v>
      </c>
    </row>
    <row r="54" ht="28.5">
      <c r="B54" s="20">
        <v>46118</v>
      </c>
      <c r="C54" s="21">
        <v>8.3333333333333329e-002</v>
      </c>
      <c r="D54" s="23" t="s">
        <v>19</v>
      </c>
      <c r="E54" s="22" t="s">
        <v>79</v>
      </c>
    </row>
    <row r="55">
      <c r="B55" s="20"/>
      <c r="C55" s="24"/>
      <c r="D55" s="7"/>
      <c r="E55" s="8"/>
    </row>
    <row r="56">
      <c r="B56" s="20"/>
      <c r="C56" s="24"/>
      <c r="D56" s="7"/>
      <c r="E56" s="8"/>
    </row>
    <row r="57">
      <c r="B57" s="20"/>
      <c r="C57" s="24"/>
      <c r="D57" s="7"/>
      <c r="E57" s="8"/>
    </row>
    <row r="58">
      <c r="B58" s="20"/>
      <c r="C58" s="24"/>
      <c r="D58" s="7"/>
      <c r="E58" s="8"/>
    </row>
    <row r="59">
      <c r="B59" s="20"/>
      <c r="C59" s="24"/>
      <c r="D59" s="7"/>
      <c r="E59" s="8"/>
    </row>
    <row r="60">
      <c r="B60" s="20"/>
      <c r="C60" s="24"/>
      <c r="D60" s="7"/>
      <c r="E60" s="8"/>
    </row>
    <row r="61">
      <c r="B61" s="20"/>
      <c r="C61" s="24"/>
      <c r="D61" s="7"/>
      <c r="E61" s="8"/>
    </row>
    <row r="62">
      <c r="B62" s="20"/>
      <c r="C62" s="24"/>
      <c r="D62" s="7"/>
      <c r="E62" s="8"/>
    </row>
    <row r="63">
      <c r="B63" s="20"/>
      <c r="C63" s="24"/>
      <c r="D63" s="7"/>
      <c r="E63" s="8"/>
    </row>
    <row r="64">
      <c r="B64" s="20"/>
      <c r="C64" s="24"/>
      <c r="D64" s="7"/>
      <c r="E64" s="8"/>
    </row>
    <row r="65">
      <c r="B65" s="20"/>
      <c r="C65" s="24"/>
      <c r="D65" s="7"/>
      <c r="E65" s="8"/>
    </row>
    <row r="66">
      <c r="B66" s="20"/>
      <c r="C66" s="24"/>
      <c r="D66" s="7"/>
      <c r="E66" s="8"/>
    </row>
    <row r="67">
      <c r="B67" s="20"/>
      <c r="C67" s="24"/>
      <c r="D67" s="7"/>
      <c r="E67" s="8"/>
    </row>
    <row r="68">
      <c r="B68" s="20"/>
      <c r="C68" s="24"/>
      <c r="D68" s="7"/>
      <c r="E68" s="8"/>
    </row>
    <row r="69">
      <c r="B69" s="20"/>
      <c r="C69" s="24"/>
      <c r="D69" s="7"/>
      <c r="E69" s="8"/>
    </row>
    <row r="70">
      <c r="B70" s="20"/>
      <c r="C70" s="24"/>
      <c r="D70" s="7"/>
      <c r="E70" s="8"/>
    </row>
    <row r="71">
      <c r="B71" s="20"/>
      <c r="C71" s="24"/>
      <c r="D71" s="7"/>
      <c r="E71" s="8"/>
    </row>
    <row r="72">
      <c r="B72" s="20"/>
      <c r="C72" s="24"/>
      <c r="D72" s="7"/>
      <c r="E72" s="8"/>
    </row>
    <row r="73">
      <c r="B73" s="20"/>
      <c r="C73" s="24"/>
      <c r="D73" s="7"/>
      <c r="E73" s="8"/>
    </row>
    <row r="74">
      <c r="B74" s="20"/>
      <c r="C74" s="24"/>
      <c r="D74" s="7"/>
      <c r="E74" s="8"/>
    </row>
    <row r="75">
      <c r="B75" s="7"/>
      <c r="C75" s="24"/>
      <c r="D75" s="7"/>
      <c r="E75" s="8"/>
    </row>
    <row r="76">
      <c r="B76" s="7"/>
      <c r="C76" s="24"/>
      <c r="D76" s="7"/>
      <c r="E76" s="8"/>
    </row>
    <row r="77">
      <c r="B77" s="7"/>
      <c r="C77" s="24"/>
      <c r="D77" s="7"/>
      <c r="E77" s="8"/>
    </row>
    <row r="78">
      <c r="B78" s="7"/>
      <c r="C78" s="24"/>
      <c r="D78" s="7"/>
      <c r="E78" s="8"/>
    </row>
    <row r="79">
      <c r="B79" s="7"/>
      <c r="C79" s="24"/>
      <c r="D79" s="7"/>
      <c r="E79" s="8"/>
    </row>
    <row r="80">
      <c r="B80" s="7"/>
      <c r="C80" s="24"/>
      <c r="D80" s="7"/>
      <c r="E80" s="8"/>
    </row>
  </sheetData>
  <printOptions headings="0" gridLines="0"/>
  <pageMargins left="0.69999999999999996" right="0.69999999999999996"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oddHeader>&amp;LÉcole Supérieur Technique&amp;CJournal de travail - M5&amp;RTINF2</oddHeader>
    <oddFooter>&amp;LHoferL-JournalPlanif-M5.xlsx&amp;RLHO/04.02.2026</oddFooter>
  </headerFooter>
  <drawing r:id="rId1"/>
  <tableParts count="2">
    <tablePart r:id="rId2"/>
    <tablePart r:id="rId3"/>
  </tableParts>
  <extLst>
    <ext xmlns:x14="http://schemas.microsoft.com/office/spreadsheetml/2009/9/main" uri="{CCE6A557-97BC-4b89-ADB6-D9C93CAAB3DF}">
      <x14:dataValidations xmlns:xm="http://schemas.microsoft.com/office/excel/2006/main" count="1" disablePrompts="0">
        <x14:dataValidation xr:uid="{00D0007A-0025-4C9B-8357-00B900E50062}" type="list" allowBlank="1" errorStyle="stop" imeMode="noControl" operator="between" showDropDown="0" showErrorMessage="1" showInputMessage="1">
          <x14:formula1>
            <xm:f>$G$3:$G$10</xm:f>
          </x14:formula1>
          <xm:sqref>D3:D55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30" workbookViewId="0">
      <selection activeCell="P19" activeCellId="0" sqref="P19"/>
    </sheetView>
  </sheetViews>
  <sheetFormatPr baseColWidth="10" defaultRowHeight="14.4"/>
  <cols>
    <col bestFit="1" customWidth="1" min="3" max="3" style="4" width="5.6640625"/>
    <col bestFit="1" customWidth="1" min="4" max="4" width="12.21875"/>
    <col bestFit="1" customWidth="1" min="5" max="5" width="9.5546875"/>
    <col bestFit="1" customWidth="1" min="6" max="6" width="11.109375"/>
  </cols>
  <sheetData>
    <row r="1">
      <c r="A1" t="s">
        <v>0</v>
      </c>
      <c r="B1" t="s">
        <v>4</v>
      </c>
      <c r="C1"/>
    </row>
    <row r="2">
      <c r="A2" s="25" t="str" cm="1">
        <f t="array" ref="A2:A30">_xlfn.UNIQUE(Journal[date])</f>
        <v>20.01.2026</v>
      </c>
      <c r="B2" s="26">
        <f>SUMIF(Journal[date],SommeParJours!A2,Journal[Temps])</f>
        <v>0.16666666666666666</v>
      </c>
      <c r="C2" s="26"/>
    </row>
    <row r="3">
      <c r="A3" s="25" t="str">
        <f/>
        <v>27.01.2026</v>
      </c>
      <c r="B3" s="26">
        <f>SUMIF(Journal[date],SommeParJours!A3,Journal[Temps])</f>
        <v>0.20833333333333331</v>
      </c>
      <c r="C3"/>
    </row>
    <row r="4">
      <c r="A4" s="25" t="str">
        <f/>
        <v>30.01.2026</v>
      </c>
      <c r="B4" s="26">
        <f>SUMIF(Journal[date],SommeParJours!A4,Journal[Temps])</f>
        <v>0.29166666666666663</v>
      </c>
      <c r="C4"/>
    </row>
    <row r="5">
      <c r="A5" s="25" t="str">
        <f/>
        <v>03.02.2026</v>
      </c>
      <c r="B5" s="26">
        <f>SUMIF(Journal[date],SommeParJours!A5,Journal[Temps])</f>
        <v>0.25</v>
      </c>
      <c r="C5"/>
    </row>
    <row r="6">
      <c r="A6" s="25" t="str">
        <f/>
        <v>04.02.2026</v>
      </c>
      <c r="B6" s="26">
        <f>SUMIF(Journal[date],SommeParJours!A6,Journal[Temps])</f>
        <v>0.20833333333333331</v>
      </c>
      <c r="C6"/>
    </row>
    <row r="7">
      <c r="A7" s="25" t="str">
        <f/>
        <v>06.02.2026</v>
      </c>
      <c r="B7" s="26">
        <f>SUMIF(Journal[date],SommeParJours!A7,Journal[Temps])</f>
        <v>0.29166666666666663</v>
      </c>
      <c r="C7"/>
    </row>
    <row r="8">
      <c r="A8" s="25" t="str">
        <f/>
        <v>08.02.2026</v>
      </c>
      <c r="B8" s="26">
        <f>SUMIF(Journal[date],SommeParJours!A8,Journal[Temps])</f>
        <v>8.3333333333333329e-002</v>
      </c>
      <c r="C8"/>
    </row>
    <row r="9">
      <c r="A9" s="25" t="str">
        <f/>
        <v>09.02.2026</v>
      </c>
      <c r="B9" s="26">
        <f>SUMIF(Journal[date],SommeParJours!A9,Journal[Temps])</f>
        <v>4.1666666666666664e-002</v>
      </c>
      <c r="C9"/>
    </row>
    <row r="10">
      <c r="A10" s="25" t="str">
        <f/>
        <v>10.02.2026</v>
      </c>
      <c r="B10" s="26">
        <f>SUMIF(Journal[date],SommeParJours!A10,Journal[Temps])</f>
        <v>0.29166666666666663</v>
      </c>
      <c r="C10"/>
    </row>
    <row r="11">
      <c r="A11" s="25" t="str">
        <f/>
        <v>12.02.2026</v>
      </c>
      <c r="B11" s="26">
        <f>SUMIF(Journal[date],SommeParJours!A11,Journal[Temps])</f>
        <v>8.3333333333333329e-002</v>
      </c>
      <c r="C11"/>
    </row>
    <row r="12">
      <c r="A12" s="25" t="str">
        <f/>
        <v>13.02.2026</v>
      </c>
      <c r="B12" s="26">
        <f>SUMIF(Journal[date],SommeParJours!A12,Journal[Temps])</f>
        <v>6.25e-002</v>
      </c>
      <c r="C12"/>
    </row>
    <row r="13">
      <c r="A13" s="25" t="str">
        <f/>
        <v>24.02.2026</v>
      </c>
      <c r="B13" s="26">
        <f>SUMIF(Journal[date],SommeParJours!A13,Journal[Temps])</f>
        <v>0.125</v>
      </c>
      <c r="C13"/>
    </row>
    <row r="14">
      <c r="A14" s="25" t="str">
        <f/>
        <v>03.03.2026</v>
      </c>
      <c r="B14" s="26">
        <f>SUMIF(Journal[date],SommeParJours!A14,Journal[Temps])</f>
        <v>0.20833333333333331</v>
      </c>
      <c r="C14"/>
    </row>
    <row r="15">
      <c r="A15" s="25" t="str">
        <f/>
        <v>05.03.2026</v>
      </c>
      <c r="B15" s="26">
        <f>SUMIF(Journal[date],SommeParJours!A15,Journal[Temps])</f>
        <v>0.1875</v>
      </c>
      <c r="C15"/>
    </row>
    <row r="16">
      <c r="A16" s="25">
        <f/>
        <v>46087</v>
      </c>
      <c r="B16" s="26">
        <f>SUMIF(Journal[date],SommeParJours!A16,Journal[Temps])</f>
        <v>0.20833333333333334</v>
      </c>
      <c r="C16"/>
    </row>
    <row r="17">
      <c r="A17" s="25">
        <f/>
        <v>46088</v>
      </c>
      <c r="B17" s="26">
        <f>SUMIF(Journal[date],SommeParJours!A17,Journal[Temps])</f>
        <v>0.25</v>
      </c>
      <c r="C17"/>
    </row>
    <row r="18">
      <c r="A18" s="25">
        <f/>
        <v>46091</v>
      </c>
      <c r="B18" s="26">
        <f>SUMIF(Journal[date],SommeParJours!A18,Journal[Temps])</f>
        <v>0.29166666666666669</v>
      </c>
      <c r="C18"/>
    </row>
    <row r="19">
      <c r="A19" s="25">
        <f/>
        <v>46093</v>
      </c>
      <c r="B19" s="26">
        <f>SUMIF(Journal[date],SommeParJours!A19,Journal[Temps])</f>
        <v>8.3333333333333329e-002</v>
      </c>
      <c r="C19"/>
    </row>
    <row r="20">
      <c r="A20" s="25">
        <f/>
        <v>46095</v>
      </c>
      <c r="B20" s="26">
        <f>SUMIF(Journal[date],SommeParJours!A20,Journal[Temps])</f>
        <v>0.1875</v>
      </c>
      <c r="C20"/>
    </row>
    <row r="21">
      <c r="A21" s="25">
        <f/>
        <v>46096</v>
      </c>
      <c r="B21" s="26">
        <f>SUMIF(Journal[date],SommeParJours!A21,Journal[Temps])</f>
        <v>0.20833333333333334</v>
      </c>
      <c r="C21"/>
    </row>
    <row r="22">
      <c r="A22" s="25">
        <f/>
        <v>46097</v>
      </c>
      <c r="B22" s="26">
        <f>SUMIF(Journal[date],SommeParJours!A22,Journal[Temps])</f>
        <v>0.14583333333333334</v>
      </c>
      <c r="C22"/>
    </row>
    <row r="23">
      <c r="A23" s="25">
        <f/>
        <v>46098</v>
      </c>
      <c r="B23" s="26">
        <f>SUMIF(Journal[date],SommeParJours!A23,Journal[Temps])</f>
        <v>0.16666666666666666</v>
      </c>
      <c r="C23"/>
    </row>
    <row r="24">
      <c r="A24" s="25">
        <f/>
        <v>46099</v>
      </c>
      <c r="B24" s="26">
        <f>SUMIF(Journal[date],SommeParJours!A24,Journal[Temps])</f>
        <v>0.20833333333333334</v>
      </c>
      <c r="C24"/>
    </row>
    <row r="25">
      <c r="A25" s="25">
        <f/>
        <v>46100</v>
      </c>
      <c r="B25" s="26">
        <f>SUMIF(Journal[date],SommeParJours!A25,Journal[Temps])</f>
        <v>0.33333333333333331</v>
      </c>
      <c r="C25"/>
      <c r="F25" s="27"/>
    </row>
    <row r="26">
      <c r="A26" s="25">
        <f/>
        <v>46102</v>
      </c>
      <c r="B26" s="26">
        <f>SUMIF(Journal[date],SommeParJours!A26,Journal[Temps])</f>
        <v>0.20833333333333331</v>
      </c>
      <c r="C26" s="28">
        <f>SUMIF(Journal[date],SommeParJours!A26,Journal[Temps])</f>
        <v>0.20833333333333331</v>
      </c>
    </row>
    <row r="27">
      <c r="A27" s="25">
        <f/>
        <v>46103</v>
      </c>
      <c r="B27" s="26">
        <f>SUMIF(Journal[date],SommeParJours!A27,Journal[Temps])</f>
        <v>0.375</v>
      </c>
      <c r="C27" s="28">
        <f>SUMIF(Journal[date],SommeParJours!A27,Journal[Temps])</f>
        <v>0.375</v>
      </c>
    </row>
    <row r="28">
      <c r="A28" s="25">
        <f/>
        <v>46104</v>
      </c>
      <c r="C28" s="28">
        <f>SUMIF(Journal[date],SommeParJours!A28,Journal[Temps])</f>
        <v>1.3888888888888888e-002</v>
      </c>
    </row>
    <row r="29">
      <c r="A29" s="25">
        <f/>
        <v>46117</v>
      </c>
      <c r="C29" s="28">
        <f>SUMIF(Journal[date],SommeParJours!A29,Journal[Temps])</f>
        <v>0.125</v>
      </c>
    </row>
    <row r="30">
      <c r="A30" s="25">
        <f/>
        <v>46118</v>
      </c>
      <c r="C30" s="28">
        <f>SUMIF(Journal[date],SommeParJours!A30,Journal[Temps])</f>
        <v>8.3333333333333329e-002</v>
      </c>
    </row>
    <row r="31">
      <c r="A31" s="25"/>
      <c r="C31" s="28">
        <f>SUMIF(Journal[date],SommeParJours!A31,Journal[Temps])</f>
        <v>0</v>
      </c>
    </row>
    <row r="32">
      <c r="A32" s="25"/>
      <c r="C32" s="28">
        <f>SUMIF(Journal[date],SommeParJours!A32,Journal[Temps])</f>
        <v>0</v>
      </c>
    </row>
    <row r="33">
      <c r="A33" s="25"/>
      <c r="C33" s="28">
        <f>SUMIF(Journal[date],SommeParJours!A33,Journal[Temps])</f>
        <v>0</v>
      </c>
    </row>
    <row r="34">
      <c r="A34" s="25"/>
      <c r="C34" s="28">
        <f>SUMIF(Journal[date],SommeParJours!A34,Journal[Temps])</f>
        <v>0</v>
      </c>
    </row>
    <row r="35">
      <c r="A35" s="25"/>
      <c r="C35" s="28">
        <f>SUMIF(Journal[date],SommeParJours!A35,Journal[Temps])</f>
        <v>0</v>
      </c>
    </row>
    <row r="36">
      <c r="A36" s="25"/>
      <c r="C36" s="28">
        <f>SUMIF(Journal[date],SommeParJours!A36,Journal[Temps])</f>
        <v>0</v>
      </c>
    </row>
    <row r="37">
      <c r="A37" s="25"/>
      <c r="C37" s="28">
        <f>SUMIF(Journal[date],SommeParJours!A37,Journal[Temps])</f>
        <v>0</v>
      </c>
    </row>
    <row r="38">
      <c r="A38" s="25"/>
      <c r="C38" s="28">
        <f>SUMIF(Journal[date],SommeParJours!A38,Journal[Temps])</f>
        <v>0</v>
      </c>
    </row>
    <row r="39">
      <c r="A39" s="25"/>
      <c r="C39" s="28">
        <f>SUMIF(Journal[date],SommeParJours!A39,Journal[Temps])</f>
        <v>0</v>
      </c>
    </row>
    <row r="40">
      <c r="A40" s="25"/>
      <c r="B40" s="26" t="str">
        <f t="shared" ref="B40:B103" si="0">IF(C40&gt;0,C40,"")</f>
        <v/>
      </c>
      <c r="C40" s="28">
        <f>SUMIF(Journal[date],SommeParJours!A40,Journal[Temps])</f>
        <v>0</v>
      </c>
    </row>
    <row r="41">
      <c r="A41" s="25"/>
      <c r="B41" s="26" t="str">
        <f t="shared" si="0"/>
        <v/>
      </c>
      <c r="C41" s="28">
        <f>SUMIF(Journal[date],SommeParJours!A41,Journal[Temps])</f>
        <v>0</v>
      </c>
    </row>
    <row r="42">
      <c r="A42" s="29"/>
      <c r="B42" s="26" t="str">
        <f t="shared" si="0"/>
        <v/>
      </c>
      <c r="C42" s="28">
        <f>SUMIF(Journal[date],SommeParJours!A42,Journal[Temps])</f>
        <v>0</v>
      </c>
    </row>
    <row r="43">
      <c r="A43" s="29"/>
      <c r="B43" s="26" t="str">
        <f t="shared" si="0"/>
        <v/>
      </c>
      <c r="C43" s="28">
        <f>SUMIF(Journal[date],SommeParJours!A43,Journal[Temps])</f>
        <v>0</v>
      </c>
    </row>
    <row r="44">
      <c r="A44" s="29"/>
      <c r="B44" s="26" t="str">
        <f t="shared" si="0"/>
        <v/>
      </c>
      <c r="C44" s="28">
        <f>SUMIF(Journal[date],SommeParJours!A44,Journal[Temps])</f>
        <v>0</v>
      </c>
    </row>
    <row r="45">
      <c r="A45" s="29"/>
      <c r="B45" s="26" t="str">
        <f t="shared" si="0"/>
        <v/>
      </c>
      <c r="C45" s="28">
        <f>SUMIF(Journal[date],SommeParJours!A45,Journal[Temps])</f>
        <v>0</v>
      </c>
    </row>
    <row r="46">
      <c r="A46" s="29"/>
      <c r="B46" s="26" t="str">
        <f t="shared" si="0"/>
        <v/>
      </c>
      <c r="C46" s="28">
        <f>SUMIF(Journal[date],SommeParJours!A46,Journal[Temps])</f>
        <v>0</v>
      </c>
    </row>
    <row r="47">
      <c r="A47" s="30"/>
      <c r="B47" s="26" t="str">
        <f t="shared" si="0"/>
        <v/>
      </c>
      <c r="C47" s="28">
        <f>SUMIF(Journal[date],SommeParJours!A47,Journal[Temps])</f>
        <v>0</v>
      </c>
    </row>
    <row r="48">
      <c r="A48" s="30"/>
      <c r="B48" s="26" t="str">
        <f t="shared" si="0"/>
        <v/>
      </c>
      <c r="C48" s="28">
        <f>SUMIF(Journal[date],SommeParJours!A48,Journal[Temps])</f>
        <v>0</v>
      </c>
    </row>
    <row r="49">
      <c r="A49" s="30"/>
      <c r="B49" s="26" t="str">
        <f t="shared" si="0"/>
        <v/>
      </c>
      <c r="C49" s="28">
        <f>SUMIF(Journal[date],SommeParJours!A49,Journal[Temps])</f>
        <v>0</v>
      </c>
    </row>
    <row r="50">
      <c r="A50" s="30"/>
      <c r="B50" s="26" t="str">
        <f t="shared" si="0"/>
        <v/>
      </c>
      <c r="C50" s="28">
        <f>SUMIF(Journal[date],SommeParJours!A50,Journal[Temps])</f>
        <v>0</v>
      </c>
    </row>
    <row r="51">
      <c r="A51" s="30"/>
      <c r="B51" s="26" t="str">
        <f t="shared" si="0"/>
        <v/>
      </c>
      <c r="C51" s="28">
        <f>SUMIF(Journal[date],SommeParJours!A51,Journal[Temps])</f>
        <v>0</v>
      </c>
    </row>
    <row r="52">
      <c r="A52" s="30"/>
      <c r="B52" s="26" t="str">
        <f t="shared" si="0"/>
        <v/>
      </c>
      <c r="C52" s="28">
        <f>SUMIF(Journal[date],SommeParJours!A52,Journal[Temps])</f>
        <v>0</v>
      </c>
    </row>
    <row r="53">
      <c r="A53" s="30"/>
      <c r="B53" s="26" t="str">
        <f t="shared" si="0"/>
        <v/>
      </c>
      <c r="C53" s="28">
        <f>SUMIF(Journal[date],SommeParJours!A53,Journal[Temps])</f>
        <v>0</v>
      </c>
    </row>
    <row r="54">
      <c r="A54" s="30"/>
      <c r="B54" s="26" t="str">
        <f t="shared" si="0"/>
        <v/>
      </c>
      <c r="C54" s="28">
        <f>SUMIF(Journal[date],SommeParJours!A54,Journal[Temps])</f>
        <v>0</v>
      </c>
    </row>
    <row r="55">
      <c r="A55" s="30"/>
      <c r="B55" s="26" t="str">
        <f t="shared" si="0"/>
        <v/>
      </c>
      <c r="C55" s="28">
        <f>SUMIF(Journal[date],SommeParJours!A55,Journal[Temps])</f>
        <v>0</v>
      </c>
    </row>
    <row r="56">
      <c r="A56" s="30"/>
      <c r="B56" s="26" t="str">
        <f t="shared" si="0"/>
        <v/>
      </c>
      <c r="C56" s="28">
        <f>SUMIF(Journal[date],SommeParJours!A56,Journal[Temps])</f>
        <v>0</v>
      </c>
    </row>
    <row r="57">
      <c r="A57" s="30"/>
      <c r="B57" s="26" t="str">
        <f t="shared" si="0"/>
        <v/>
      </c>
      <c r="C57" s="28">
        <f>SUMIF(Journal[date],SommeParJours!A57,Journal[Temps])</f>
        <v>0</v>
      </c>
    </row>
    <row r="58">
      <c r="A58" s="30"/>
      <c r="B58" s="26" t="str">
        <f t="shared" si="0"/>
        <v/>
      </c>
      <c r="C58" s="28">
        <f>SUMIF(Journal[date],SommeParJours!A58,Journal[Temps])</f>
        <v>0</v>
      </c>
    </row>
    <row r="59">
      <c r="A59" s="30"/>
      <c r="B59" s="26" t="str">
        <f t="shared" si="0"/>
        <v/>
      </c>
      <c r="C59" s="28">
        <f>SUMIF(Journal[date],SommeParJours!A59,Journal[Temps])</f>
        <v>0</v>
      </c>
    </row>
    <row r="60">
      <c r="A60" s="30"/>
      <c r="B60" s="26" t="str">
        <f t="shared" si="0"/>
        <v/>
      </c>
      <c r="C60" s="28">
        <f>SUMIF(Journal[date],SommeParJours!A60,Journal[Temps])</f>
        <v>0</v>
      </c>
    </row>
    <row r="61">
      <c r="A61" s="30"/>
      <c r="B61" s="26" t="str">
        <f t="shared" si="0"/>
        <v/>
      </c>
      <c r="C61" s="28">
        <f>SUMIF(Journal[date],SommeParJours!A61,Journal[Temps])</f>
        <v>0</v>
      </c>
    </row>
    <row r="62">
      <c r="A62" s="30"/>
      <c r="B62" s="26" t="str">
        <f t="shared" si="0"/>
        <v/>
      </c>
      <c r="C62" s="28">
        <f>SUMIF(Journal[date],SommeParJours!A62,Journal[Temps])</f>
        <v>0</v>
      </c>
    </row>
    <row r="63">
      <c r="A63" s="30"/>
      <c r="B63" s="26" t="str">
        <f t="shared" si="0"/>
        <v/>
      </c>
      <c r="C63" s="28">
        <f>SUMIF(Journal[date],SommeParJours!A63,Journal[Temps])</f>
        <v>0</v>
      </c>
    </row>
    <row r="64">
      <c r="A64" s="30"/>
      <c r="B64" s="26" t="str">
        <f t="shared" si="0"/>
        <v/>
      </c>
      <c r="C64" s="28">
        <f>SUMIF(Journal[date],SommeParJours!A64,Journal[Temps])</f>
        <v>0</v>
      </c>
    </row>
    <row r="65">
      <c r="A65" s="30"/>
      <c r="B65" s="26" t="str">
        <f t="shared" si="0"/>
        <v/>
      </c>
      <c r="C65" s="28">
        <f>SUMIF(Journal[date],SommeParJours!A65,Journal[Temps])</f>
        <v>0</v>
      </c>
    </row>
    <row r="66">
      <c r="A66" s="30"/>
      <c r="B66" s="26" t="str">
        <f t="shared" si="0"/>
        <v/>
      </c>
      <c r="C66" s="28">
        <f>SUMIF(Journal[date],SommeParJours!A66,Journal[Temps])</f>
        <v>0</v>
      </c>
    </row>
    <row r="67">
      <c r="A67" s="30"/>
      <c r="B67" s="26" t="str">
        <f t="shared" si="0"/>
        <v/>
      </c>
      <c r="C67" s="28">
        <f>SUMIF(Journal[date],SommeParJours!A67,Journal[Temps])</f>
        <v>0</v>
      </c>
    </row>
    <row r="68">
      <c r="A68" s="30"/>
      <c r="B68" s="26" t="str">
        <f t="shared" si="0"/>
        <v/>
      </c>
      <c r="C68" s="28">
        <f>SUMIF(Journal[date],SommeParJours!A68,Journal[Temps])</f>
        <v>0</v>
      </c>
    </row>
    <row r="69">
      <c r="A69" s="30"/>
      <c r="B69" s="26" t="str">
        <f t="shared" si="0"/>
        <v/>
      </c>
      <c r="C69" s="28">
        <f>SUMIF(Journal[date],SommeParJours!A69,Journal[Temps])</f>
        <v>0</v>
      </c>
    </row>
    <row r="70">
      <c r="A70" s="30"/>
      <c r="B70" s="26" t="str">
        <f t="shared" si="0"/>
        <v/>
      </c>
      <c r="C70" s="28">
        <f>SUMIF(Journal[date],SommeParJours!A70,Journal[Temps])</f>
        <v>0</v>
      </c>
    </row>
    <row r="71">
      <c r="A71" s="30"/>
      <c r="B71" s="26" t="str">
        <f t="shared" si="0"/>
        <v/>
      </c>
      <c r="C71" s="28">
        <f>SUMIF(Journal[date],SommeParJours!A71,Journal[Temps])</f>
        <v>0</v>
      </c>
    </row>
    <row r="72">
      <c r="A72" s="30"/>
      <c r="B72" s="26" t="str">
        <f t="shared" si="0"/>
        <v/>
      </c>
      <c r="C72" s="28">
        <f>SUMIF(Journal[date],SommeParJours!A72,Journal[Temps])</f>
        <v>0</v>
      </c>
    </row>
    <row r="73">
      <c r="A73" s="30"/>
      <c r="B73" s="26" t="str">
        <f t="shared" si="0"/>
        <v/>
      </c>
      <c r="C73" s="28">
        <f>SUMIF(Journal[date],SommeParJours!A73,Journal[Temps])</f>
        <v>0</v>
      </c>
    </row>
    <row r="74">
      <c r="A74" s="30"/>
      <c r="B74" s="26" t="str">
        <f t="shared" si="0"/>
        <v/>
      </c>
      <c r="C74" s="28">
        <f>SUMIF(Journal[date],SommeParJours!A74,Journal[Temps])</f>
        <v>0</v>
      </c>
    </row>
    <row r="75">
      <c r="A75" s="30"/>
      <c r="B75" s="26" t="str">
        <f t="shared" si="0"/>
        <v/>
      </c>
      <c r="C75" s="28">
        <f>SUMIF(Journal[date],SommeParJours!A75,Journal[Temps])</f>
        <v>0</v>
      </c>
    </row>
    <row r="76">
      <c r="A76" s="30"/>
      <c r="B76" s="26" t="str">
        <f t="shared" si="0"/>
        <v/>
      </c>
      <c r="C76" s="28">
        <f>SUMIF(Journal[date],SommeParJours!A76,Journal[Temps])</f>
        <v>0</v>
      </c>
    </row>
    <row r="77">
      <c r="A77" s="30"/>
      <c r="B77" s="26" t="str">
        <f t="shared" si="0"/>
        <v/>
      </c>
      <c r="C77" s="28">
        <f>SUMIF(Journal[date],SommeParJours!A77,Journal[Temps])</f>
        <v>0</v>
      </c>
    </row>
    <row r="78">
      <c r="A78" s="30"/>
      <c r="B78" s="26" t="str">
        <f t="shared" si="0"/>
        <v/>
      </c>
      <c r="C78" s="28">
        <f>SUMIF(Journal[date],SommeParJours!A78,Journal[Temps])</f>
        <v>0</v>
      </c>
    </row>
    <row r="79">
      <c r="A79" s="30"/>
      <c r="B79" s="26" t="str">
        <f t="shared" si="0"/>
        <v/>
      </c>
      <c r="C79" s="28">
        <f>SUMIF(Journal[date],SommeParJours!A79,Journal[Temps])</f>
        <v>0</v>
      </c>
    </row>
    <row r="80">
      <c r="A80" s="30"/>
      <c r="B80" s="26" t="str">
        <f t="shared" si="0"/>
        <v/>
      </c>
      <c r="C80" s="28">
        <f>SUMIF(Journal[date],SommeParJours!A80,Journal[Temps])</f>
        <v>0</v>
      </c>
    </row>
    <row r="81">
      <c r="A81" s="30"/>
      <c r="B81" s="26" t="str">
        <f t="shared" si="0"/>
        <v/>
      </c>
      <c r="C81" s="28">
        <f>SUMIF(Journal[date],SommeParJours!A81,Journal[Temps])</f>
        <v>0</v>
      </c>
    </row>
    <row r="82">
      <c r="A82" s="30"/>
      <c r="B82" s="26" t="str">
        <f t="shared" si="0"/>
        <v/>
      </c>
      <c r="C82" s="28">
        <f>SUMIF(Journal[date],SommeParJours!A82,Journal[Temps])</f>
        <v>0</v>
      </c>
    </row>
    <row r="83">
      <c r="A83" s="30"/>
      <c r="B83" s="26" t="str">
        <f t="shared" si="0"/>
        <v/>
      </c>
      <c r="C83" s="28">
        <f>SUMIF(Journal[date],SommeParJours!A83,Journal[Temps])</f>
        <v>0</v>
      </c>
    </row>
    <row r="84">
      <c r="A84" s="30"/>
      <c r="B84" s="26" t="str">
        <f t="shared" si="0"/>
        <v/>
      </c>
      <c r="C84" s="28">
        <f>SUMIF(Journal[date],SommeParJours!A84,Journal[Temps])</f>
        <v>0</v>
      </c>
    </row>
    <row r="85">
      <c r="A85" s="30"/>
      <c r="B85" s="26" t="str">
        <f t="shared" si="0"/>
        <v/>
      </c>
      <c r="C85" s="28">
        <f>SUMIF(Journal[date],SommeParJours!A85,Journal[Temps])</f>
        <v>0</v>
      </c>
    </row>
    <row r="86">
      <c r="A86" s="30"/>
      <c r="B86" s="26" t="str">
        <f t="shared" si="0"/>
        <v/>
      </c>
      <c r="C86" s="28">
        <f>SUMIF(Journal[date],SommeParJours!A86,Journal[Temps])</f>
        <v>0</v>
      </c>
    </row>
    <row r="87">
      <c r="A87" s="30"/>
      <c r="B87" s="26" t="str">
        <f t="shared" si="0"/>
        <v/>
      </c>
      <c r="C87" s="28">
        <f>SUMIF(Journal[date],SommeParJours!A87,Journal[Temps])</f>
        <v>0</v>
      </c>
    </row>
    <row r="88">
      <c r="A88" s="30"/>
      <c r="B88" s="26" t="str">
        <f t="shared" si="0"/>
        <v/>
      </c>
      <c r="C88" s="28">
        <f>SUMIF(Journal[date],SommeParJours!A88,Journal[Temps])</f>
        <v>0</v>
      </c>
    </row>
    <row r="89">
      <c r="A89" s="30"/>
      <c r="B89" s="26" t="str">
        <f t="shared" si="0"/>
        <v/>
      </c>
      <c r="C89" s="28">
        <f>SUMIF(Journal[date],SommeParJours!A89,Journal[Temps])</f>
        <v>0</v>
      </c>
    </row>
    <row r="90">
      <c r="A90" s="30"/>
      <c r="B90" s="26" t="str">
        <f t="shared" si="0"/>
        <v/>
      </c>
      <c r="C90" s="28">
        <f>SUMIF(Journal[date],SommeParJours!A90,Journal[Temps])</f>
        <v>0</v>
      </c>
    </row>
    <row r="91">
      <c r="A91" s="30"/>
      <c r="B91" s="26" t="str">
        <f t="shared" si="0"/>
        <v/>
      </c>
      <c r="C91" s="28">
        <f>SUMIF(Journal[date],SommeParJours!A91,Journal[Temps])</f>
        <v>0</v>
      </c>
    </row>
    <row r="92">
      <c r="A92" s="30"/>
      <c r="B92" s="26" t="str">
        <f t="shared" si="0"/>
        <v/>
      </c>
      <c r="C92" s="28">
        <f>SUMIF(Journal[date],SommeParJours!A92,Journal[Temps])</f>
        <v>0</v>
      </c>
    </row>
    <row r="93">
      <c r="A93" s="30"/>
      <c r="B93" s="26" t="str">
        <f t="shared" si="0"/>
        <v/>
      </c>
      <c r="C93" s="28">
        <f>SUMIF(Journal[date],SommeParJours!A93,Journal[Temps])</f>
        <v>0</v>
      </c>
    </row>
    <row r="94">
      <c r="A94" s="30"/>
      <c r="B94" s="26" t="str">
        <f t="shared" si="0"/>
        <v/>
      </c>
      <c r="C94" s="28">
        <f>SUMIF(Journal[date],SommeParJours!A94,Journal[Temps])</f>
        <v>0</v>
      </c>
    </row>
    <row r="95">
      <c r="A95" s="30"/>
      <c r="B95" s="26" t="str">
        <f t="shared" si="0"/>
        <v/>
      </c>
      <c r="C95" s="28">
        <f>SUMIF(Journal[date],SommeParJours!A95,Journal[Temps])</f>
        <v>0</v>
      </c>
    </row>
    <row r="96">
      <c r="A96" s="30"/>
      <c r="B96" s="26" t="str">
        <f t="shared" si="0"/>
        <v/>
      </c>
      <c r="C96" s="28">
        <f>SUMIF(Journal[date],SommeParJours!A96,Journal[Temps])</f>
        <v>0</v>
      </c>
    </row>
    <row r="97">
      <c r="A97" s="30"/>
      <c r="B97" s="26" t="str">
        <f t="shared" si="0"/>
        <v/>
      </c>
      <c r="C97" s="28">
        <f>SUMIF(Journal[date],SommeParJours!A97,Journal[Temps])</f>
        <v>0</v>
      </c>
    </row>
    <row r="98">
      <c r="A98" s="30"/>
      <c r="B98" s="26" t="str">
        <f t="shared" si="0"/>
        <v/>
      </c>
      <c r="C98" s="28">
        <f>SUMIF(Journal[date],SommeParJours!A98,Journal[Temps])</f>
        <v>0</v>
      </c>
    </row>
    <row r="99">
      <c r="A99" s="30"/>
      <c r="B99" s="26" t="str">
        <f t="shared" si="0"/>
        <v/>
      </c>
      <c r="C99" s="28">
        <f>SUMIF(Journal[date],SommeParJours!A99,Journal[Temps])</f>
        <v>0</v>
      </c>
    </row>
    <row r="100">
      <c r="A100" s="30"/>
      <c r="B100" s="26" t="str">
        <f t="shared" si="0"/>
        <v/>
      </c>
      <c r="C100" s="28">
        <f>SUMIF(Journal[date],SommeParJours!A100,Journal[Temps])</f>
        <v>0</v>
      </c>
    </row>
    <row r="101">
      <c r="A101" s="30"/>
      <c r="B101" s="26" t="str">
        <f t="shared" si="0"/>
        <v/>
      </c>
      <c r="C101" s="28">
        <f>SUMIF(Journal[date],SommeParJours!A101,Journal[Temps])</f>
        <v>0</v>
      </c>
    </row>
    <row r="102">
      <c r="A102" s="30"/>
      <c r="B102" s="26" t="str">
        <f t="shared" si="0"/>
        <v/>
      </c>
      <c r="C102" s="28">
        <f>SUMIF(Journal[date],SommeParJours!A102,Journal[Temps])</f>
        <v>0</v>
      </c>
    </row>
    <row r="103">
      <c r="A103" s="30"/>
      <c r="B103" s="26" t="str">
        <f t="shared" si="0"/>
        <v/>
      </c>
      <c r="C103" s="28">
        <f>SUMIF(Journal[date],SommeParJours!A103,Journal[Temps])</f>
        <v>0</v>
      </c>
    </row>
    <row r="104">
      <c r="A104" s="30"/>
      <c r="B104" s="26" t="str">
        <f t="shared" ref="B104:B114" si="1">IF(C104&gt;0,C104,"")</f>
        <v/>
      </c>
      <c r="C104" s="28">
        <f>SUMIF(Journal[date],SommeParJours!A104,Journal[Temps])</f>
        <v>0</v>
      </c>
    </row>
    <row r="105">
      <c r="A105" s="30"/>
      <c r="B105" s="26" t="str">
        <f t="shared" si="1"/>
        <v/>
      </c>
      <c r="C105" s="28">
        <f>SUMIF(Journal[date],SommeParJours!A105,Journal[Temps])</f>
        <v>0</v>
      </c>
    </row>
    <row r="106">
      <c r="A106" s="30"/>
      <c r="B106" s="26" t="str">
        <f t="shared" si="1"/>
        <v/>
      </c>
      <c r="C106" s="28">
        <f>SUMIF(Journal[date],SommeParJours!A106,Journal[Temps])</f>
        <v>0</v>
      </c>
    </row>
    <row r="107">
      <c r="A107" s="30"/>
      <c r="B107" s="26" t="str">
        <f t="shared" si="1"/>
        <v/>
      </c>
      <c r="C107" s="28">
        <f>SUMIF(Journal[date],SommeParJours!A107,Journal[Temps])</f>
        <v>0</v>
      </c>
    </row>
    <row r="108">
      <c r="A108" s="30"/>
      <c r="B108" s="26" t="str">
        <f t="shared" si="1"/>
        <v/>
      </c>
      <c r="C108" s="28">
        <f>SUMIF(Journal[date],SommeParJours!A108,Journal[Temps])</f>
        <v>0</v>
      </c>
    </row>
    <row r="109">
      <c r="A109" s="30"/>
      <c r="B109" s="26" t="str">
        <f t="shared" si="1"/>
        <v/>
      </c>
      <c r="C109" s="28">
        <f>SUMIF(Journal[date],SommeParJours!A109,Journal[Temps])</f>
        <v>0</v>
      </c>
    </row>
    <row r="110">
      <c r="A110" s="30"/>
      <c r="B110" s="26" t="str">
        <f t="shared" si="1"/>
        <v/>
      </c>
      <c r="C110" s="28">
        <f>SUMIF(Journal[date],SommeParJours!A110,Journal[Temps])</f>
        <v>0</v>
      </c>
    </row>
    <row r="111">
      <c r="A111" s="30"/>
      <c r="B111" s="26" t="str">
        <f t="shared" si="1"/>
        <v/>
      </c>
      <c r="C111" s="28">
        <f>SUMIF(Journal[date],SommeParJours!A111,Journal[Temps])</f>
        <v>0</v>
      </c>
    </row>
    <row r="112">
      <c r="A112" s="30"/>
      <c r="B112" s="26" t="str">
        <f t="shared" si="1"/>
        <v/>
      </c>
      <c r="C112" s="28">
        <f>SUMIF(Journal[date],SommeParJours!A112,Journal[Temps])</f>
        <v>0</v>
      </c>
    </row>
    <row r="113">
      <c r="A113" s="30"/>
      <c r="B113" s="26" t="str">
        <f t="shared" si="1"/>
        <v/>
      </c>
      <c r="C113" s="28">
        <f>SUMIF(Journal[date],SommeParJours!A113,Journal[Temps])</f>
        <v>0</v>
      </c>
    </row>
    <row r="114">
      <c r="A114" s="30"/>
      <c r="B114" s="26" t="str">
        <f t="shared" si="1"/>
        <v/>
      </c>
      <c r="C114" s="28">
        <f>SUMIF(Journal[date],SommeParJours!A114,Journal[Temps])</f>
        <v>0</v>
      </c>
    </row>
    <row r="115">
      <c r="A115" s="30"/>
      <c r="B115" s="30"/>
      <c r="C115" s="28"/>
    </row>
    <row r="116">
      <c r="A116" s="30"/>
      <c r="B116" s="30"/>
      <c r="C116" s="28"/>
    </row>
    <row r="117">
      <c r="A117" s="30"/>
      <c r="B117" s="30"/>
      <c r="C117" s="28"/>
    </row>
    <row r="118">
      <c r="A118" s="30"/>
      <c r="B118" s="30"/>
      <c r="C118" s="28"/>
    </row>
    <row r="119">
      <c r="A119" s="30"/>
      <c r="B119" s="30"/>
      <c r="C119" s="28"/>
    </row>
    <row r="120">
      <c r="A120" s="30"/>
      <c r="B120" s="30"/>
      <c r="C120" s="28"/>
    </row>
    <row r="121">
      <c r="A121" s="30"/>
      <c r="B121" s="30"/>
      <c r="C121" s="28"/>
    </row>
    <row r="122">
      <c r="A122" s="30"/>
      <c r="B122" s="30"/>
      <c r="C122" s="28"/>
    </row>
    <row r="123">
      <c r="A123" s="30"/>
      <c r="B123" s="30"/>
      <c r="C123" s="28"/>
    </row>
    <row r="124">
      <c r="A124" s="30"/>
      <c r="B124" s="30"/>
      <c r="C124" s="28"/>
    </row>
    <row r="125">
      <c r="A125" s="30"/>
      <c r="B125" s="30"/>
      <c r="C125" s="28"/>
    </row>
    <row r="126">
      <c r="A126" s="30"/>
      <c r="B126" s="30"/>
      <c r="C126" s="28"/>
    </row>
    <row r="127">
      <c r="A127" s="30"/>
      <c r="B127" s="30"/>
      <c r="C127" s="28"/>
    </row>
    <row r="128">
      <c r="A128" s="30"/>
      <c r="B128" s="30"/>
      <c r="C128" s="28"/>
    </row>
    <row r="129">
      <c r="A129" s="30"/>
      <c r="B129" s="30"/>
      <c r="C129" s="28"/>
    </row>
    <row r="130">
      <c r="A130" s="30"/>
      <c r="B130" s="30"/>
      <c r="C130" s="28"/>
    </row>
    <row r="131">
      <c r="A131" s="30"/>
      <c r="B131" s="30"/>
      <c r="C131" s="28"/>
    </row>
    <row r="132">
      <c r="A132" s="30"/>
      <c r="B132" s="30"/>
      <c r="C132" s="28"/>
    </row>
    <row r="133">
      <c r="A133" s="30"/>
      <c r="B133" s="30"/>
      <c r="C133" s="28"/>
    </row>
    <row r="134">
      <c r="A134" s="30"/>
      <c r="B134" s="30"/>
      <c r="C134" s="28"/>
    </row>
    <row r="135">
      <c r="A135" s="30"/>
      <c r="B135" s="30"/>
      <c r="C135" s="28"/>
    </row>
    <row r="136">
      <c r="A136" s="30"/>
      <c r="B136" s="30"/>
      <c r="C136" s="28"/>
    </row>
    <row r="137">
      <c r="A137" s="30"/>
      <c r="B137" s="30"/>
      <c r="C137" s="28"/>
    </row>
    <row r="138">
      <c r="A138" s="30"/>
      <c r="B138" s="30"/>
      <c r="C138" s="28"/>
    </row>
    <row r="139">
      <c r="A139" s="30"/>
      <c r="B139" s="30"/>
      <c r="C139" s="28"/>
    </row>
    <row r="140">
      <c r="A140" s="30"/>
      <c r="B140" s="30"/>
      <c r="C140" s="28"/>
    </row>
    <row r="141">
      <c r="A141" s="30"/>
      <c r="B141" s="30"/>
      <c r="C141" s="28"/>
    </row>
    <row r="142">
      <c r="A142" s="30"/>
      <c r="B142" s="30"/>
      <c r="C142" s="28"/>
    </row>
    <row r="143">
      <c r="A143" s="30"/>
      <c r="B143" s="30"/>
      <c r="C143" s="28"/>
    </row>
    <row r="144">
      <c r="A144" s="30"/>
      <c r="B144" s="30"/>
      <c r="C144" s="28"/>
    </row>
    <row r="145">
      <c r="A145" s="30"/>
      <c r="B145" s="30"/>
      <c r="C145" s="28"/>
    </row>
    <row r="146">
      <c r="A146" s="30"/>
      <c r="B146" s="30"/>
      <c r="C146" s="28"/>
    </row>
    <row r="147">
      <c r="A147" s="30"/>
      <c r="B147" s="30"/>
      <c r="C147" s="28"/>
    </row>
    <row r="148">
      <c r="A148" s="30"/>
      <c r="B148" s="30"/>
      <c r="C148" s="28"/>
    </row>
    <row r="149">
      <c r="A149" s="30"/>
      <c r="B149" s="30"/>
      <c r="C149" s="28"/>
    </row>
    <row r="150">
      <c r="A150" s="30"/>
      <c r="B150" s="30"/>
      <c r="C150" s="28"/>
    </row>
    <row r="151">
      <c r="A151" s="30"/>
      <c r="B151" s="30"/>
      <c r="C151" s="28"/>
    </row>
    <row r="152">
      <c r="A152" s="30"/>
      <c r="B152" s="30"/>
      <c r="C152" s="28"/>
    </row>
    <row r="153">
      <c r="A153" s="30"/>
      <c r="B153" s="30"/>
      <c r="C153" s="28"/>
    </row>
    <row r="154">
      <c r="A154" s="30"/>
      <c r="B154" s="30"/>
      <c r="C154" s="28"/>
    </row>
    <row r="155">
      <c r="A155" s="30"/>
      <c r="B155" s="30"/>
      <c r="C155" s="28"/>
    </row>
    <row r="156">
      <c r="A156" s="30"/>
      <c r="B156" s="30"/>
      <c r="C156" s="28"/>
    </row>
    <row r="157">
      <c r="A157" s="30"/>
      <c r="B157" s="30"/>
      <c r="C157" s="28"/>
    </row>
    <row r="158">
      <c r="A158" s="30"/>
      <c r="B158" s="30"/>
      <c r="C158" s="28"/>
    </row>
    <row r="159">
      <c r="A159" s="30"/>
      <c r="B159" s="30"/>
    </row>
    <row r="160">
      <c r="A160" s="30"/>
      <c r="B160" s="30"/>
    </row>
    <row r="161">
      <c r="A161" s="30"/>
      <c r="B161" s="30"/>
    </row>
    <row r="162">
      <c r="A162" s="30"/>
      <c r="B162" s="30"/>
    </row>
    <row r="163">
      <c r="A163" s="30"/>
      <c r="B163" s="30"/>
    </row>
    <row r="164">
      <c r="A164" s="30"/>
      <c r="B164" s="30"/>
    </row>
    <row r="165">
      <c r="A165" s="30"/>
      <c r="B165" s="30"/>
    </row>
    <row r="166">
      <c r="A166" s="30"/>
      <c r="B166" s="30"/>
    </row>
    <row r="167">
      <c r="A167" s="30"/>
      <c r="B167" s="30"/>
    </row>
    <row r="168">
      <c r="A168" s="30"/>
      <c r="B168" s="30"/>
    </row>
    <row r="169">
      <c r="A169" s="30"/>
      <c r="B169" s="30"/>
    </row>
    <row r="170">
      <c r="A170" s="30"/>
      <c r="B170" s="30"/>
    </row>
    <row r="171">
      <c r="A171" s="30"/>
      <c r="B171" s="30"/>
    </row>
    <row r="172">
      <c r="A172" s="30"/>
      <c r="B172" s="30"/>
    </row>
    <row r="173">
      <c r="A173" s="30"/>
      <c r="B173" s="30"/>
    </row>
    <row r="174">
      <c r="A174" s="30"/>
      <c r="B174" s="30"/>
    </row>
    <row r="175">
      <c r="A175" s="30"/>
      <c r="B175" s="30"/>
    </row>
    <row r="176">
      <c r="A176" s="30"/>
      <c r="B176" s="30"/>
    </row>
    <row r="177">
      <c r="A177" s="30"/>
      <c r="B177" s="30"/>
    </row>
    <row r="178">
      <c r="A178" s="30"/>
      <c r="B178" s="30"/>
    </row>
    <row r="179">
      <c r="A179" s="30"/>
      <c r="B179" s="30"/>
    </row>
    <row r="180">
      <c r="A180" s="30"/>
      <c r="B180" s="30"/>
    </row>
    <row r="181">
      <c r="A181" s="30"/>
      <c r="B181" s="30"/>
    </row>
    <row r="182">
      <c r="A182" s="30"/>
      <c r="B182" s="30"/>
    </row>
    <row r="183">
      <c r="A183" s="30"/>
      <c r="B183" s="30"/>
    </row>
    <row r="184">
      <c r="A184" s="30"/>
      <c r="B184" s="30"/>
    </row>
    <row r="185">
      <c r="A185" s="30"/>
      <c r="B185" s="30"/>
    </row>
    <row r="186">
      <c r="A186" s="30"/>
      <c r="B186" s="30"/>
    </row>
    <row r="187">
      <c r="A187" s="30"/>
      <c r="B187" s="30"/>
    </row>
    <row r="188">
      <c r="A188" s="30"/>
      <c r="B188" s="30"/>
    </row>
    <row r="189">
      <c r="A189" s="30"/>
      <c r="B189" s="30"/>
    </row>
    <row r="190">
      <c r="A190" s="30"/>
      <c r="B190" s="30"/>
    </row>
    <row r="191">
      <c r="A191" s="30"/>
      <c r="B191" s="30"/>
    </row>
    <row r="192">
      <c r="A192" s="30"/>
      <c r="B192" s="30"/>
    </row>
    <row r="193">
      <c r="A193" s="30"/>
      <c r="B193" s="30"/>
    </row>
    <row r="194">
      <c r="A194" s="30"/>
      <c r="B194" s="30"/>
    </row>
    <row r="195">
      <c r="A195" s="30"/>
      <c r="B195" s="30"/>
    </row>
    <row r="196">
      <c r="A196" s="30"/>
      <c r="B196" s="30"/>
    </row>
    <row r="197">
      <c r="A197" s="30"/>
      <c r="B197" s="30"/>
    </row>
    <row r="198">
      <c r="A198" s="30"/>
      <c r="B198" s="30"/>
    </row>
    <row r="199">
      <c r="A199" s="30"/>
      <c r="B199" s="30"/>
    </row>
    <row r="200">
      <c r="A200" s="30"/>
      <c r="B200" s="30"/>
    </row>
    <row r="201">
      <c r="A201" s="30"/>
      <c r="B201" s="30"/>
    </row>
    <row r="202">
      <c r="A202" s="30"/>
      <c r="B202" s="30"/>
    </row>
    <row r="203">
      <c r="A203" s="30"/>
      <c r="B203" s="30"/>
    </row>
    <row r="204">
      <c r="A204" s="30"/>
      <c r="B204" s="30"/>
    </row>
    <row r="205">
      <c r="A205" s="30"/>
      <c r="B205" s="30"/>
    </row>
    <row r="206">
      <c r="A206" s="30"/>
      <c r="B206" s="30"/>
    </row>
    <row r="207">
      <c r="A207" s="30"/>
      <c r="B207" s="30"/>
    </row>
    <row r="208">
      <c r="A208" s="30"/>
      <c r="B208" s="30"/>
    </row>
    <row r="209">
      <c r="A209" s="30"/>
      <c r="B209" s="30"/>
    </row>
    <row r="210">
      <c r="A210" s="30"/>
      <c r="B210" s="30"/>
    </row>
    <row r="211">
      <c r="A211" s="30"/>
      <c r="B211" s="30"/>
    </row>
    <row r="212">
      <c r="A212" s="30"/>
      <c r="B212" s="30"/>
    </row>
    <row r="213">
      <c r="A213" s="30"/>
      <c r="B213" s="30"/>
    </row>
    <row r="214">
      <c r="A214" s="30"/>
      <c r="B214" s="30"/>
    </row>
    <row r="215">
      <c r="A215" s="30"/>
      <c r="B215" s="30"/>
    </row>
    <row r="216">
      <c r="A216" s="30"/>
      <c r="B216" s="30"/>
    </row>
    <row r="217">
      <c r="A217" s="30"/>
      <c r="B217" s="30"/>
    </row>
    <row r="218">
      <c r="A218" s="30"/>
      <c r="B218" s="30"/>
    </row>
    <row r="219">
      <c r="A219" s="30"/>
      <c r="B219" s="30"/>
    </row>
    <row r="220">
      <c r="A220" s="30"/>
      <c r="B220" s="30"/>
    </row>
    <row r="221">
      <c r="A221" s="30"/>
      <c r="B221" s="30"/>
    </row>
    <row r="222">
      <c r="A222" s="30"/>
      <c r="B222" s="30"/>
    </row>
    <row r="223">
      <c r="A223" s="30"/>
      <c r="B223" s="30"/>
    </row>
    <row r="224">
      <c r="A224" s="30"/>
      <c r="B224" s="30"/>
    </row>
    <row r="225">
      <c r="A225" s="30"/>
      <c r="B225" s="30"/>
    </row>
    <row r="226">
      <c r="A226" s="30"/>
      <c r="B226" s="30"/>
    </row>
    <row r="227">
      <c r="A227" s="30"/>
      <c r="B227" s="30"/>
    </row>
    <row r="228">
      <c r="A228" s="30"/>
      <c r="B228" s="30"/>
    </row>
    <row r="229">
      <c r="A229" s="30"/>
      <c r="B229" s="30"/>
    </row>
    <row r="230">
      <c r="A230" s="30"/>
      <c r="B230" s="30"/>
    </row>
    <row r="231">
      <c r="A231" s="30"/>
      <c r="B231" s="30"/>
    </row>
    <row r="232">
      <c r="A232" s="30"/>
      <c r="B232" s="30"/>
    </row>
    <row r="233">
      <c r="A233" s="30"/>
      <c r="B233" s="30"/>
    </row>
    <row r="234">
      <c r="A234" s="30"/>
      <c r="B234" s="30"/>
    </row>
    <row r="235">
      <c r="A235" s="30"/>
      <c r="B235" s="30"/>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45" workbookViewId="0">
      <pane ySplit="1" topLeftCell="A2" activePane="bottomLeft" state="frozen"/>
      <selection activeCell="AC50" activeCellId="0" sqref="AC50"/>
    </sheetView>
  </sheetViews>
  <sheetFormatPr baseColWidth="10" defaultColWidth="8.88671875" defaultRowHeight="14.4"/>
  <cols>
    <col customWidth="1" min="2" max="2" width="4.33203125"/>
    <col bestFit="1" min="3" max="3" width="35.77734375"/>
    <col customWidth="1" min="4" max="11" width="3.44140625"/>
    <col customWidth="1" min="12" max="12" style="31" width="6"/>
    <col customWidth="1" min="13" max="22" width="3.44140625"/>
    <col customWidth="1" min="23" max="23" style="31" width="6"/>
    <col customWidth="1" min="24" max="29" width="3.44140625"/>
    <col customWidth="1" min="30" max="30" style="31" width="6"/>
    <col customWidth="1" min="31" max="39" width="3.44140625"/>
    <col bestFit="1" customWidth="1" min="40" max="40" width="13.88671875"/>
    <col customWidth="1" min="41" max="47" width="3.44140625"/>
  </cols>
  <sheetData>
    <row r="1" s="32" customFormat="1" ht="66.599999999999994" customHeight="1">
      <c r="B1" s="33" t="s">
        <v>80</v>
      </c>
      <c r="C1" s="34" t="s">
        <v>81</v>
      </c>
      <c r="D1" s="35" t="s">
        <v>5</v>
      </c>
      <c r="E1" s="35" t="s">
        <v>82</v>
      </c>
      <c r="F1" s="36" t="s">
        <v>11</v>
      </c>
      <c r="G1" s="37" t="s">
        <v>17</v>
      </c>
      <c r="H1" s="38" t="s">
        <v>83</v>
      </c>
      <c r="I1" s="35" t="s">
        <v>22</v>
      </c>
      <c r="J1" s="35" t="s">
        <v>37</v>
      </c>
      <c r="K1" s="35" t="s">
        <v>84</v>
      </c>
      <c r="L1" s="39" t="s">
        <v>85</v>
      </c>
      <c r="M1" s="35" t="s">
        <v>86</v>
      </c>
      <c r="N1" s="37" t="s">
        <v>47</v>
      </c>
      <c r="O1" s="38" t="s">
        <v>87</v>
      </c>
      <c r="P1" s="35" t="s">
        <v>49</v>
      </c>
      <c r="Q1" s="35" t="s">
        <v>84</v>
      </c>
      <c r="R1" s="35" t="s">
        <v>88</v>
      </c>
      <c r="S1" s="35" t="s">
        <v>89</v>
      </c>
      <c r="T1" s="35" t="s">
        <v>90</v>
      </c>
      <c r="U1" s="35" t="s">
        <v>91</v>
      </c>
      <c r="V1" s="37" t="s">
        <v>92</v>
      </c>
      <c r="W1" s="40" t="s">
        <v>93</v>
      </c>
      <c r="X1" s="35" t="s">
        <v>94</v>
      </c>
      <c r="Y1" s="35" t="s">
        <v>95</v>
      </c>
      <c r="Z1" s="37" t="s">
        <v>96</v>
      </c>
      <c r="AA1" s="41" t="s">
        <v>97</v>
      </c>
      <c r="AB1" s="42" t="s">
        <v>98</v>
      </c>
      <c r="AC1" s="42" t="s">
        <v>99</v>
      </c>
      <c r="AD1" s="39" t="s">
        <v>100</v>
      </c>
      <c r="AE1" s="43" t="s">
        <v>101</v>
      </c>
      <c r="AF1" s="44" t="s">
        <v>102</v>
      </c>
      <c r="AG1" s="45" t="s">
        <v>103</v>
      </c>
      <c r="AH1" s="45" t="s">
        <v>104</v>
      </c>
      <c r="AI1" s="45" t="s">
        <v>105</v>
      </c>
      <c r="AJ1" s="45" t="s">
        <v>106</v>
      </c>
      <c r="AK1" s="42" t="s">
        <v>107</v>
      </c>
      <c r="AL1" s="46"/>
      <c r="AM1" s="46"/>
      <c r="AN1" s="46"/>
      <c r="AO1" s="46"/>
      <c r="AP1" s="46"/>
      <c r="AQ1" s="46"/>
      <c r="AR1" s="46"/>
      <c r="AS1" s="46"/>
      <c r="AT1" s="46"/>
      <c r="AU1" s="46"/>
    </row>
    <row r="2" ht="12" customHeight="1">
      <c r="B2" s="47" t="s">
        <v>12</v>
      </c>
      <c r="C2" s="48" t="s">
        <v>10</v>
      </c>
      <c r="D2" s="49"/>
      <c r="E2" s="49"/>
      <c r="F2" s="50"/>
      <c r="G2" s="51"/>
      <c r="H2" s="52"/>
      <c r="I2" s="49"/>
      <c r="J2" s="49"/>
      <c r="K2" s="49"/>
      <c r="L2" s="53"/>
      <c r="M2" s="49"/>
      <c r="N2" s="54"/>
      <c r="O2" s="55"/>
      <c r="P2" s="49"/>
      <c r="Q2" s="49"/>
      <c r="R2" s="49"/>
      <c r="S2" s="49"/>
      <c r="T2" s="49"/>
      <c r="U2" s="49"/>
      <c r="V2" s="54"/>
      <c r="W2" s="56"/>
      <c r="X2" s="49"/>
      <c r="Y2" s="49"/>
      <c r="Z2" s="54"/>
      <c r="AA2" s="55"/>
      <c r="AB2" s="49"/>
      <c r="AC2" s="49"/>
      <c r="AD2" s="53"/>
      <c r="AE2" s="54"/>
      <c r="AF2" s="55"/>
      <c r="AG2" s="49"/>
      <c r="AH2" s="49"/>
      <c r="AI2" s="49"/>
      <c r="AJ2" s="49"/>
      <c r="AK2" s="49"/>
    </row>
    <row r="3" ht="12" customHeight="1">
      <c r="B3" s="47"/>
      <c r="C3" s="48"/>
      <c r="D3" s="49"/>
      <c r="E3" s="49"/>
      <c r="F3" s="57"/>
      <c r="G3" s="54"/>
      <c r="H3" s="55"/>
      <c r="I3" s="58"/>
      <c r="J3" s="58"/>
      <c r="K3" s="49"/>
      <c r="L3" s="53"/>
      <c r="M3" s="49"/>
      <c r="N3" s="54"/>
      <c r="O3" s="55"/>
      <c r="P3" s="49"/>
      <c r="Q3" s="49"/>
      <c r="R3" s="49"/>
      <c r="S3" s="49"/>
      <c r="T3" s="49"/>
      <c r="U3" s="49"/>
      <c r="V3" s="54"/>
      <c r="W3" s="56"/>
      <c r="X3" s="49"/>
      <c r="Y3" s="49"/>
      <c r="Z3" s="54"/>
      <c r="AA3" s="55"/>
      <c r="AB3" s="49"/>
      <c r="AC3" s="49"/>
      <c r="AD3" s="53"/>
      <c r="AE3" s="54"/>
      <c r="AF3" s="55"/>
      <c r="AG3" s="49"/>
      <c r="AH3" s="49"/>
      <c r="AI3" s="49"/>
      <c r="AJ3" s="49"/>
      <c r="AK3" s="49"/>
    </row>
    <row r="4" ht="12" customHeight="1">
      <c r="B4" s="47"/>
      <c r="C4" s="48" t="s">
        <v>108</v>
      </c>
      <c r="D4" s="49"/>
      <c r="E4" s="49"/>
      <c r="F4" s="57"/>
      <c r="G4" s="54"/>
      <c r="H4" s="55"/>
      <c r="I4" s="49"/>
      <c r="J4" s="49"/>
      <c r="K4" s="49"/>
      <c r="L4" s="53"/>
      <c r="M4" s="49"/>
      <c r="N4" s="54"/>
      <c r="O4" s="55"/>
      <c r="P4" s="49"/>
      <c r="Q4" s="49"/>
      <c r="R4" s="49"/>
      <c r="S4" s="49"/>
      <c r="T4" s="49"/>
      <c r="U4" s="49"/>
      <c r="V4" s="54"/>
      <c r="W4" s="56"/>
      <c r="X4" s="49"/>
      <c r="Y4" s="49"/>
      <c r="Z4" s="54"/>
      <c r="AA4" s="55"/>
      <c r="AB4" s="49"/>
      <c r="AC4" s="49"/>
      <c r="AD4" s="53"/>
      <c r="AE4" s="54"/>
      <c r="AF4" s="55"/>
      <c r="AG4" s="49"/>
      <c r="AH4" s="49"/>
      <c r="AI4" s="49"/>
      <c r="AJ4" s="49"/>
      <c r="AK4" s="49"/>
    </row>
    <row r="5" ht="12" customHeight="1">
      <c r="B5" s="47"/>
      <c r="C5" s="48"/>
      <c r="D5" s="49"/>
      <c r="E5" s="49"/>
      <c r="F5" s="59"/>
      <c r="G5" s="60"/>
      <c r="H5" s="61"/>
      <c r="I5" s="62"/>
      <c r="J5" s="49"/>
      <c r="K5" s="49"/>
      <c r="L5" s="53"/>
      <c r="M5" s="49"/>
      <c r="N5" s="54"/>
      <c r="O5" s="55"/>
      <c r="P5" s="49"/>
      <c r="Q5" s="49"/>
      <c r="R5" s="49"/>
      <c r="S5" s="49"/>
      <c r="T5" s="49"/>
      <c r="U5" s="49"/>
      <c r="V5" s="54"/>
      <c r="W5" s="56"/>
      <c r="X5" s="49"/>
      <c r="Y5" s="49"/>
      <c r="Z5" s="54"/>
      <c r="AA5" s="55"/>
      <c r="AB5" s="49"/>
      <c r="AC5" s="49"/>
      <c r="AD5" s="53"/>
      <c r="AE5" s="54"/>
      <c r="AF5" s="55"/>
      <c r="AG5" s="49"/>
      <c r="AH5" s="49"/>
      <c r="AI5" s="49"/>
      <c r="AJ5" s="49"/>
      <c r="AK5" s="49"/>
    </row>
    <row r="6" ht="12" customHeight="1">
      <c r="B6" s="47"/>
      <c r="C6" s="48" t="s">
        <v>12</v>
      </c>
      <c r="D6" s="49"/>
      <c r="E6" s="49"/>
      <c r="F6" s="57"/>
      <c r="G6" s="54"/>
      <c r="H6" s="55"/>
      <c r="I6" s="49"/>
      <c r="J6" s="49"/>
      <c r="K6" s="49"/>
      <c r="L6" s="53"/>
      <c r="M6" s="49"/>
      <c r="N6" s="54"/>
      <c r="O6" s="55"/>
      <c r="P6" s="49"/>
      <c r="Q6" s="49"/>
      <c r="R6" s="49"/>
      <c r="S6" s="49"/>
      <c r="T6" s="49"/>
      <c r="U6" s="49"/>
      <c r="V6" s="54"/>
      <c r="W6" s="56"/>
      <c r="X6" s="49"/>
      <c r="Y6" s="49"/>
      <c r="Z6" s="54"/>
      <c r="AA6" s="55"/>
      <c r="AB6" s="49"/>
      <c r="AC6" s="49"/>
      <c r="AD6" s="53"/>
      <c r="AE6" s="51"/>
      <c r="AF6" s="52"/>
      <c r="AG6" s="63"/>
      <c r="AH6" s="63"/>
      <c r="AI6" s="63"/>
      <c r="AJ6" s="63"/>
      <c r="AK6" s="63"/>
    </row>
    <row r="7" ht="12" customHeight="1">
      <c r="B7" s="47"/>
      <c r="C7" s="48"/>
      <c r="D7" s="49"/>
      <c r="E7" s="49"/>
      <c r="F7" s="59"/>
      <c r="G7" s="60"/>
      <c r="H7" s="61"/>
      <c r="I7" s="62"/>
      <c r="J7" s="49"/>
      <c r="K7" s="49"/>
      <c r="L7" s="53"/>
      <c r="M7" s="49"/>
      <c r="N7" s="54"/>
      <c r="O7" s="61"/>
      <c r="P7" s="49"/>
      <c r="Q7" s="62"/>
      <c r="R7" s="49"/>
      <c r="S7" s="49"/>
      <c r="T7" s="49"/>
      <c r="U7" s="49"/>
      <c r="V7" s="54"/>
      <c r="W7" s="56"/>
      <c r="X7" s="49"/>
      <c r="Y7" s="49"/>
      <c r="Z7" s="54"/>
      <c r="AA7" s="55"/>
      <c r="AB7" s="49"/>
      <c r="AC7" s="49"/>
      <c r="AD7" s="53"/>
      <c r="AE7" s="54"/>
      <c r="AF7" s="55"/>
      <c r="AG7" s="49"/>
      <c r="AH7" s="49"/>
      <c r="AI7" s="49"/>
      <c r="AJ7" s="49"/>
      <c r="AK7" s="49"/>
    </row>
    <row r="8" ht="12" customHeight="1">
      <c r="B8" s="47"/>
      <c r="C8" s="48" t="s">
        <v>109</v>
      </c>
      <c r="D8" s="63"/>
      <c r="E8" s="63"/>
      <c r="F8" s="50"/>
      <c r="G8" s="51"/>
      <c r="H8" s="52"/>
      <c r="I8" s="63"/>
      <c r="J8" s="63"/>
      <c r="K8" s="63"/>
      <c r="L8" s="53"/>
      <c r="M8" s="63"/>
      <c r="N8" s="51"/>
      <c r="O8" s="52"/>
      <c r="P8" s="63"/>
      <c r="Q8" s="63"/>
      <c r="R8" s="63"/>
      <c r="S8" s="63"/>
      <c r="T8" s="63"/>
      <c r="U8" s="63"/>
      <c r="V8" s="51"/>
      <c r="W8" s="56"/>
      <c r="X8" s="63"/>
      <c r="Y8" s="63"/>
      <c r="Z8" s="51"/>
      <c r="AA8" s="52"/>
      <c r="AB8" s="63"/>
      <c r="AC8" s="63"/>
      <c r="AD8" s="53"/>
      <c r="AE8" s="51"/>
      <c r="AF8" s="52"/>
      <c r="AG8" s="63"/>
      <c r="AH8" s="63"/>
      <c r="AI8" s="63"/>
      <c r="AJ8" s="63"/>
      <c r="AK8" s="63"/>
    </row>
    <row r="9" ht="12" customHeight="1">
      <c r="B9" s="47"/>
      <c r="C9" s="48"/>
      <c r="D9" s="49"/>
      <c r="E9" s="62"/>
      <c r="F9" s="59"/>
      <c r="G9" s="54"/>
      <c r="H9" s="55"/>
      <c r="I9" s="62"/>
      <c r="J9" s="62"/>
      <c r="K9" s="49"/>
      <c r="L9" s="53"/>
      <c r="M9" s="62"/>
      <c r="N9" s="54"/>
      <c r="O9" s="61"/>
      <c r="P9" s="49"/>
      <c r="Q9" s="62"/>
      <c r="R9" s="49"/>
      <c r="S9" s="64"/>
      <c r="T9" s="49"/>
      <c r="U9" s="49"/>
      <c r="V9" s="54"/>
      <c r="W9" s="56"/>
      <c r="X9" s="49"/>
      <c r="Y9" s="49"/>
      <c r="Z9" s="54"/>
      <c r="AA9" s="55"/>
      <c r="AB9" s="49"/>
      <c r="AC9" s="49"/>
      <c r="AD9" s="53"/>
      <c r="AE9" s="54"/>
      <c r="AF9" s="55"/>
      <c r="AG9" s="49"/>
      <c r="AH9" s="49"/>
      <c r="AI9" s="49"/>
      <c r="AJ9" s="49"/>
      <c r="AK9" s="49"/>
    </row>
    <row r="10" ht="12" customHeight="1">
      <c r="B10" s="47"/>
      <c r="C10" s="48" t="s">
        <v>110</v>
      </c>
      <c r="D10" s="49"/>
      <c r="E10" s="49"/>
      <c r="F10" s="57"/>
      <c r="G10" s="54"/>
      <c r="H10" s="55"/>
      <c r="I10" s="49"/>
      <c r="J10" s="49"/>
      <c r="K10" s="49"/>
      <c r="L10" s="53"/>
      <c r="M10" s="49"/>
      <c r="N10" s="54"/>
      <c r="O10" s="55"/>
      <c r="P10" s="49"/>
      <c r="Q10" s="49"/>
      <c r="R10" s="49"/>
      <c r="S10" s="49"/>
      <c r="T10" s="49"/>
      <c r="U10" s="49"/>
      <c r="V10" s="51"/>
      <c r="W10" s="56"/>
      <c r="X10" s="63"/>
      <c r="Y10" s="63"/>
      <c r="Z10" s="51"/>
      <c r="AA10" s="55"/>
      <c r="AB10" s="49"/>
      <c r="AC10" s="49"/>
      <c r="AD10" s="53"/>
      <c r="AE10" s="54"/>
      <c r="AF10" s="55"/>
      <c r="AG10" s="49"/>
      <c r="AH10" s="49"/>
      <c r="AI10" s="49"/>
      <c r="AJ10" s="49"/>
      <c r="AK10" s="49"/>
    </row>
    <row r="11" ht="12" customHeight="1">
      <c r="B11" s="47"/>
      <c r="C11" s="48"/>
      <c r="D11" s="49"/>
      <c r="E11" s="49"/>
      <c r="F11" s="57"/>
      <c r="G11" s="54"/>
      <c r="H11" s="55"/>
      <c r="I11" s="49"/>
      <c r="J11" s="49"/>
      <c r="K11" s="49"/>
      <c r="L11" s="53"/>
      <c r="M11" s="49"/>
      <c r="N11" s="54"/>
      <c r="O11" s="55"/>
      <c r="P11" s="49"/>
      <c r="Q11" s="49"/>
      <c r="R11" s="49"/>
      <c r="S11" s="49"/>
      <c r="T11" s="49"/>
      <c r="U11" s="49"/>
      <c r="V11" s="54"/>
      <c r="W11" s="56"/>
      <c r="X11" s="49"/>
      <c r="Y11" s="49"/>
      <c r="Z11" s="54"/>
      <c r="AA11" s="55"/>
      <c r="AB11" s="49"/>
      <c r="AC11" s="49"/>
      <c r="AD11" s="53"/>
      <c r="AE11" s="54"/>
      <c r="AF11" s="55"/>
      <c r="AG11" s="49"/>
      <c r="AH11" s="49"/>
      <c r="AI11" s="49"/>
      <c r="AJ11" s="49"/>
      <c r="AK11" s="49"/>
    </row>
    <row r="12" ht="12" customHeight="1">
      <c r="B12" s="47"/>
      <c r="C12" s="48" t="s">
        <v>111</v>
      </c>
      <c r="D12" s="49"/>
      <c r="E12" s="49"/>
      <c r="F12" s="57"/>
      <c r="G12" s="54"/>
      <c r="H12" s="55"/>
      <c r="I12" s="49"/>
      <c r="J12" s="49"/>
      <c r="K12" s="49"/>
      <c r="L12" s="53"/>
      <c r="M12" s="49"/>
      <c r="N12" s="54"/>
      <c r="O12" s="55"/>
      <c r="P12" s="49"/>
      <c r="Q12" s="49"/>
      <c r="R12" s="49"/>
      <c r="S12" s="49"/>
      <c r="T12" s="49"/>
      <c r="U12" s="49"/>
      <c r="V12" s="54"/>
      <c r="W12" s="56"/>
      <c r="X12" s="49"/>
      <c r="Y12" s="49"/>
      <c r="Z12" s="54"/>
      <c r="AA12" s="55"/>
      <c r="AB12" s="49"/>
      <c r="AC12" s="49"/>
      <c r="AD12" s="53"/>
      <c r="AE12" s="54"/>
      <c r="AF12" s="52"/>
      <c r="AG12" s="63"/>
      <c r="AH12" s="63"/>
      <c r="AI12" s="63"/>
      <c r="AJ12" s="63"/>
      <c r="AK12" s="63"/>
    </row>
    <row r="13" ht="12" customHeight="1">
      <c r="B13" s="47"/>
      <c r="C13" s="48"/>
      <c r="D13" s="49"/>
      <c r="E13" s="49"/>
      <c r="F13" s="57"/>
      <c r="G13" s="54"/>
      <c r="H13" s="55"/>
      <c r="I13" s="49"/>
      <c r="J13" s="49"/>
      <c r="K13" s="49"/>
      <c r="L13" s="53"/>
      <c r="M13" s="49"/>
      <c r="N13" s="54"/>
      <c r="O13" s="55"/>
      <c r="P13" s="49"/>
      <c r="Q13" s="49"/>
      <c r="R13" s="49"/>
      <c r="S13" s="49"/>
      <c r="T13" s="49"/>
      <c r="U13" s="49"/>
      <c r="V13" s="54"/>
      <c r="W13" s="56"/>
      <c r="X13" s="49"/>
      <c r="Y13" s="49"/>
      <c r="Z13" s="54"/>
      <c r="AA13" s="55"/>
      <c r="AB13" s="49"/>
      <c r="AC13" s="49"/>
      <c r="AD13" s="53"/>
      <c r="AE13" s="54"/>
      <c r="AF13" s="55"/>
      <c r="AG13" s="49"/>
      <c r="AH13" s="49"/>
      <c r="AI13" s="49"/>
      <c r="AJ13" s="49"/>
      <c r="AK13" s="49"/>
    </row>
    <row r="14" ht="12" customHeight="1">
      <c r="B14" s="65" t="s">
        <v>112</v>
      </c>
      <c r="C14" s="66" t="s">
        <v>113</v>
      </c>
      <c r="D14" s="63"/>
      <c r="E14" s="63"/>
      <c r="F14" s="50"/>
      <c r="G14" s="51"/>
      <c r="H14" s="67"/>
      <c r="I14" s="68"/>
      <c r="J14" s="68"/>
      <c r="K14" s="68"/>
      <c r="L14" s="53"/>
      <c r="M14" s="68"/>
      <c r="N14" s="69"/>
      <c r="O14" s="67"/>
      <c r="P14" s="68"/>
      <c r="Q14" s="68"/>
      <c r="R14" s="68"/>
      <c r="S14" s="68"/>
      <c r="T14" s="68"/>
      <c r="U14" s="68"/>
      <c r="V14" s="69"/>
      <c r="W14" s="56"/>
      <c r="X14" s="68"/>
      <c r="Y14" s="68"/>
      <c r="Z14" s="69"/>
      <c r="AA14" s="67"/>
      <c r="AB14" s="68"/>
      <c r="AC14" s="68"/>
      <c r="AD14" s="53"/>
      <c r="AE14" s="69"/>
      <c r="AF14" s="67"/>
      <c r="AG14" s="68"/>
      <c r="AH14" s="68"/>
      <c r="AI14" s="68"/>
      <c r="AJ14" s="68"/>
      <c r="AK14" s="68"/>
    </row>
    <row r="15" ht="12" customHeight="1">
      <c r="B15" s="65"/>
      <c r="C15" s="66"/>
      <c r="D15" s="68"/>
      <c r="E15" s="62"/>
      <c r="F15" s="59"/>
      <c r="G15" s="60"/>
      <c r="H15" s="67"/>
      <c r="I15" s="68"/>
      <c r="J15" s="68"/>
      <c r="K15" s="68"/>
      <c r="L15" s="53"/>
      <c r="M15" s="68"/>
      <c r="N15" s="69"/>
      <c r="O15" s="67"/>
      <c r="P15" s="68"/>
      <c r="Q15" s="68"/>
      <c r="R15" s="68"/>
      <c r="S15" s="68"/>
      <c r="T15" s="68"/>
      <c r="U15" s="68"/>
      <c r="V15" s="69"/>
      <c r="W15" s="56"/>
      <c r="X15" s="68"/>
      <c r="Y15" s="68"/>
      <c r="Z15" s="69"/>
      <c r="AA15" s="67"/>
      <c r="AB15" s="68"/>
      <c r="AC15" s="68"/>
      <c r="AD15" s="53"/>
      <c r="AE15" s="69"/>
      <c r="AF15" s="67"/>
      <c r="AG15" s="68"/>
      <c r="AH15" s="68"/>
      <c r="AI15" s="68"/>
      <c r="AJ15" s="68"/>
      <c r="AK15" s="68"/>
    </row>
    <row r="16" ht="12" customHeight="1">
      <c r="B16" s="65"/>
      <c r="C16" s="66" t="s">
        <v>114</v>
      </c>
      <c r="D16" s="63"/>
      <c r="E16" s="63"/>
      <c r="F16" s="50"/>
      <c r="G16" s="69"/>
      <c r="H16" s="67"/>
      <c r="I16" s="68"/>
      <c r="J16" s="68"/>
      <c r="K16" s="68"/>
      <c r="L16" s="53"/>
      <c r="M16" s="68"/>
      <c r="N16" s="69"/>
      <c r="O16" s="67"/>
      <c r="P16" s="68"/>
      <c r="Q16" s="68"/>
      <c r="R16" s="68"/>
      <c r="S16" s="68"/>
      <c r="T16" s="68"/>
      <c r="U16" s="68"/>
      <c r="V16" s="69"/>
      <c r="W16" s="56"/>
      <c r="X16" s="68"/>
      <c r="Y16" s="68"/>
      <c r="Z16" s="69"/>
      <c r="AA16" s="67"/>
      <c r="AB16" s="68"/>
      <c r="AC16" s="68"/>
      <c r="AD16" s="53"/>
      <c r="AE16" s="69"/>
      <c r="AF16" s="67"/>
      <c r="AG16" s="68"/>
      <c r="AH16" s="68"/>
      <c r="AI16" s="68"/>
      <c r="AJ16" s="68"/>
      <c r="AK16" s="68"/>
    </row>
    <row r="17" ht="12" customHeight="1">
      <c r="B17" s="65"/>
      <c r="C17" s="66"/>
      <c r="D17" s="70"/>
      <c r="E17" s="62"/>
      <c r="F17" s="71"/>
      <c r="G17" s="69"/>
      <c r="H17" s="67"/>
      <c r="I17" s="68"/>
      <c r="J17" s="68"/>
      <c r="K17" s="68"/>
      <c r="L17" s="53"/>
      <c r="M17" s="68"/>
      <c r="N17" s="69"/>
      <c r="O17" s="67"/>
      <c r="P17" s="68"/>
      <c r="Q17" s="68"/>
      <c r="R17" s="68"/>
      <c r="S17" s="68"/>
      <c r="T17" s="68"/>
      <c r="U17" s="68"/>
      <c r="V17" s="69"/>
      <c r="W17" s="56"/>
      <c r="X17" s="68"/>
      <c r="Y17" s="68"/>
      <c r="Z17" s="69"/>
      <c r="AA17" s="67"/>
      <c r="AB17" s="68"/>
      <c r="AC17" s="68"/>
      <c r="AD17" s="53"/>
      <c r="AE17" s="69"/>
      <c r="AF17" s="67"/>
      <c r="AG17" s="68"/>
      <c r="AH17" s="68"/>
      <c r="AI17" s="68"/>
      <c r="AJ17" s="68"/>
      <c r="AK17" s="68"/>
      <c r="AN17" t="s">
        <v>115</v>
      </c>
    </row>
    <row r="18" ht="12" customHeight="1">
      <c r="B18" s="65"/>
      <c r="C18" s="66" t="s">
        <v>116</v>
      </c>
      <c r="D18" s="63"/>
      <c r="E18" s="63"/>
      <c r="F18" s="71"/>
      <c r="G18" s="69"/>
      <c r="H18" s="67"/>
      <c r="I18" s="68"/>
      <c r="J18" s="68"/>
      <c r="K18" s="68"/>
      <c r="L18" s="53"/>
      <c r="M18" s="68"/>
      <c r="N18" s="69"/>
      <c r="O18" s="67"/>
      <c r="P18" s="68"/>
      <c r="Q18" s="68"/>
      <c r="R18" s="68"/>
      <c r="S18" s="68"/>
      <c r="T18" s="68"/>
      <c r="U18" s="68"/>
      <c r="V18" s="69"/>
      <c r="W18" s="56"/>
      <c r="X18" s="68"/>
      <c r="Y18" s="68"/>
      <c r="Z18" s="69"/>
      <c r="AA18" s="67"/>
      <c r="AB18" s="68"/>
      <c r="AC18" s="68"/>
      <c r="AD18" s="53"/>
      <c r="AE18" s="69"/>
      <c r="AF18" s="67"/>
      <c r="AG18" s="68"/>
      <c r="AH18" s="68"/>
      <c r="AI18" s="68"/>
      <c r="AJ18" s="68"/>
      <c r="AK18" s="68"/>
    </row>
    <row r="19" ht="12" customHeight="1">
      <c r="B19" s="65"/>
      <c r="C19" s="66"/>
      <c r="D19" s="68"/>
      <c r="E19" s="62"/>
      <c r="F19" s="72"/>
      <c r="G19" s="69"/>
      <c r="H19" s="67"/>
      <c r="I19" s="68"/>
      <c r="J19" s="68"/>
      <c r="K19" s="68"/>
      <c r="L19" s="53"/>
      <c r="M19" s="68"/>
      <c r="N19" s="69"/>
      <c r="O19" s="67"/>
      <c r="P19" s="68"/>
      <c r="Q19" s="68"/>
      <c r="R19" s="68"/>
      <c r="S19" s="68"/>
      <c r="T19" s="68"/>
      <c r="U19" s="68"/>
      <c r="V19" s="69"/>
      <c r="W19" s="56"/>
      <c r="X19" s="68"/>
      <c r="Y19" s="68"/>
      <c r="Z19" s="69"/>
      <c r="AA19" s="67"/>
      <c r="AB19" s="68"/>
      <c r="AC19" s="68"/>
      <c r="AD19" s="53"/>
      <c r="AE19" s="69"/>
      <c r="AF19" s="67"/>
      <c r="AG19" s="68"/>
      <c r="AH19" s="68"/>
      <c r="AI19" s="68"/>
      <c r="AJ19" s="68"/>
      <c r="AK19" s="68"/>
    </row>
    <row r="20" ht="12" customHeight="1">
      <c r="B20" s="65"/>
      <c r="C20" s="66" t="s">
        <v>117</v>
      </c>
      <c r="D20" s="68"/>
      <c r="E20" s="68"/>
      <c r="F20" s="71"/>
      <c r="G20" s="51"/>
      <c r="H20" s="52"/>
      <c r="I20" s="63"/>
      <c r="J20" s="68"/>
      <c r="K20" s="68"/>
      <c r="L20" s="53"/>
      <c r="M20" s="68"/>
      <c r="N20" s="69"/>
      <c r="O20" s="67"/>
      <c r="P20" s="68"/>
      <c r="Q20" s="68"/>
      <c r="R20" s="68"/>
      <c r="S20" s="68"/>
      <c r="T20" s="68"/>
      <c r="U20" s="68"/>
      <c r="V20" s="69"/>
      <c r="W20" s="56"/>
      <c r="X20" s="68"/>
      <c r="Y20" s="68"/>
      <c r="Z20" s="69"/>
      <c r="AA20" s="67"/>
      <c r="AB20" s="68"/>
      <c r="AC20" s="68"/>
      <c r="AD20" s="53"/>
      <c r="AE20" s="69"/>
      <c r="AF20" s="67"/>
      <c r="AG20" s="68"/>
      <c r="AH20" s="68"/>
      <c r="AI20" s="68"/>
      <c r="AJ20" s="68"/>
      <c r="AK20" s="68"/>
    </row>
    <row r="21" ht="12" customHeight="1">
      <c r="B21" s="65"/>
      <c r="C21" s="66"/>
      <c r="D21" s="68"/>
      <c r="E21" s="68"/>
      <c r="F21" s="71"/>
      <c r="G21" s="69"/>
      <c r="H21" s="67"/>
      <c r="I21" s="62"/>
      <c r="J21" s="68"/>
      <c r="K21" s="68"/>
      <c r="L21" s="53"/>
      <c r="M21" s="68"/>
      <c r="N21" s="69"/>
      <c r="O21" s="67"/>
      <c r="P21" s="68"/>
      <c r="Q21" s="68"/>
      <c r="R21" s="68"/>
      <c r="S21" s="68"/>
      <c r="T21" s="68"/>
      <c r="U21" s="68"/>
      <c r="V21" s="69"/>
      <c r="W21" s="56"/>
      <c r="X21" s="68"/>
      <c r="Y21" s="68"/>
      <c r="Z21" s="69"/>
      <c r="AA21" s="67"/>
      <c r="AB21" s="68"/>
      <c r="AC21" s="68"/>
      <c r="AD21" s="53"/>
      <c r="AE21" s="69"/>
      <c r="AF21" s="67"/>
      <c r="AG21" s="68"/>
      <c r="AH21" s="68"/>
      <c r="AI21" s="68"/>
      <c r="AJ21" s="68"/>
      <c r="AK21" s="68"/>
    </row>
    <row r="22" ht="12" customHeight="1">
      <c r="B22" s="65"/>
      <c r="C22" s="66" t="s">
        <v>118</v>
      </c>
      <c r="D22" s="68"/>
      <c r="E22" s="68"/>
      <c r="F22" s="71"/>
      <c r="G22" s="51"/>
      <c r="H22" s="52"/>
      <c r="I22" s="63"/>
      <c r="J22" s="68"/>
      <c r="K22" s="68"/>
      <c r="L22" s="53"/>
      <c r="M22" s="68"/>
      <c r="N22" s="69"/>
      <c r="O22" s="67"/>
      <c r="P22" s="68"/>
      <c r="Q22" s="68"/>
      <c r="R22" s="68"/>
      <c r="S22" s="68"/>
      <c r="T22" s="68"/>
      <c r="U22" s="68"/>
      <c r="V22" s="69"/>
      <c r="W22" s="56"/>
      <c r="X22" s="68"/>
      <c r="Y22" s="68"/>
      <c r="Z22" s="69"/>
      <c r="AA22" s="67"/>
      <c r="AB22" s="68"/>
      <c r="AC22" s="68"/>
      <c r="AD22" s="53"/>
      <c r="AE22" s="69"/>
      <c r="AF22" s="67"/>
      <c r="AG22" s="68"/>
      <c r="AH22" s="68"/>
      <c r="AI22" s="68"/>
      <c r="AJ22" s="68"/>
      <c r="AK22" s="68"/>
    </row>
    <row r="23" ht="12" customHeight="1">
      <c r="B23" s="65"/>
      <c r="C23" s="66"/>
      <c r="D23" s="68"/>
      <c r="E23" s="68"/>
      <c r="F23" s="71"/>
      <c r="G23" s="69"/>
      <c r="H23" s="67"/>
      <c r="I23" s="62"/>
      <c r="J23" s="58"/>
      <c r="K23" s="68"/>
      <c r="L23" s="53"/>
      <c r="M23" s="68"/>
      <c r="N23" s="69"/>
      <c r="O23" s="67"/>
      <c r="P23" s="68"/>
      <c r="Q23" s="68"/>
      <c r="R23" s="68"/>
      <c r="S23" s="68"/>
      <c r="T23" s="68"/>
      <c r="U23" s="68"/>
      <c r="V23" s="69"/>
      <c r="W23" s="56"/>
      <c r="X23" s="68"/>
      <c r="Y23" s="68"/>
      <c r="Z23" s="69"/>
      <c r="AA23" s="67"/>
      <c r="AB23" s="68"/>
      <c r="AC23" s="68"/>
      <c r="AD23" s="53"/>
      <c r="AE23" s="69"/>
      <c r="AF23" s="67"/>
      <c r="AG23" s="68"/>
      <c r="AH23" s="68"/>
      <c r="AI23" s="68"/>
      <c r="AJ23" s="68"/>
      <c r="AK23" s="68"/>
    </row>
    <row r="24" ht="12" customHeight="1">
      <c r="B24" s="65"/>
      <c r="C24" s="66" t="s">
        <v>119</v>
      </c>
      <c r="D24" s="68"/>
      <c r="E24" s="68"/>
      <c r="F24" s="71"/>
      <c r="G24" s="69"/>
      <c r="H24" s="67"/>
      <c r="I24" s="63"/>
      <c r="J24" s="68"/>
      <c r="K24" s="68"/>
      <c r="L24" s="53"/>
      <c r="M24" s="68"/>
      <c r="N24" s="69"/>
      <c r="O24" s="67"/>
      <c r="P24" s="68"/>
      <c r="Q24" s="68"/>
      <c r="R24" s="68"/>
      <c r="S24" s="68"/>
      <c r="T24" s="68"/>
      <c r="U24" s="68"/>
      <c r="V24" s="69"/>
      <c r="W24" s="56"/>
      <c r="X24" s="68"/>
      <c r="Y24" s="68"/>
      <c r="Z24" s="69"/>
      <c r="AA24" s="67"/>
      <c r="AB24" s="68"/>
      <c r="AC24" s="68"/>
      <c r="AD24" s="53"/>
      <c r="AE24" s="69"/>
      <c r="AF24" s="67"/>
      <c r="AG24" s="68"/>
      <c r="AH24" s="68"/>
      <c r="AI24" s="68"/>
      <c r="AJ24" s="68"/>
      <c r="AK24" s="68"/>
    </row>
    <row r="25" ht="12" customHeight="1">
      <c r="B25" s="65"/>
      <c r="C25" s="66"/>
      <c r="D25" s="68"/>
      <c r="E25" s="68"/>
      <c r="F25" s="71"/>
      <c r="G25" s="69"/>
      <c r="H25" s="67"/>
      <c r="I25" s="68"/>
      <c r="J25" s="58"/>
      <c r="K25" s="68"/>
      <c r="L25" s="53"/>
      <c r="M25" s="68"/>
      <c r="N25" s="69"/>
      <c r="O25" s="67"/>
      <c r="P25" s="68"/>
      <c r="Q25" s="68"/>
      <c r="R25" s="68"/>
      <c r="S25" s="68"/>
      <c r="T25" s="68"/>
      <c r="U25" s="68"/>
      <c r="V25" s="69"/>
      <c r="W25" s="56"/>
      <c r="X25" s="68"/>
      <c r="Y25" s="68"/>
      <c r="Z25" s="69"/>
      <c r="AA25" s="67"/>
      <c r="AB25" s="68"/>
      <c r="AC25" s="68"/>
      <c r="AD25" s="53"/>
      <c r="AE25" s="69"/>
      <c r="AF25" s="67"/>
      <c r="AG25" s="68"/>
      <c r="AH25" s="68"/>
      <c r="AI25" s="68"/>
      <c r="AJ25" s="68"/>
      <c r="AK25" s="68"/>
    </row>
    <row r="26" ht="12" customHeight="1">
      <c r="B26" s="47" t="s">
        <v>120</v>
      </c>
      <c r="C26" s="48" t="s">
        <v>121</v>
      </c>
      <c r="D26" s="49"/>
      <c r="E26" s="49"/>
      <c r="F26" s="57"/>
      <c r="G26" s="54"/>
      <c r="H26" s="52"/>
      <c r="I26" s="63"/>
      <c r="J26" s="49"/>
      <c r="K26" s="49"/>
      <c r="L26" s="53"/>
      <c r="M26" s="49"/>
      <c r="N26" s="54"/>
      <c r="O26" s="55"/>
      <c r="P26" s="49"/>
      <c r="Q26" s="49"/>
      <c r="R26" s="49"/>
      <c r="S26" s="49"/>
      <c r="T26" s="49"/>
      <c r="U26" s="49"/>
      <c r="V26" s="54"/>
      <c r="W26" s="56"/>
      <c r="X26" s="49"/>
      <c r="Y26" s="49"/>
      <c r="Z26" s="54"/>
      <c r="AA26" s="55"/>
      <c r="AB26" s="49"/>
      <c r="AC26" s="49"/>
      <c r="AD26" s="53"/>
      <c r="AE26" s="54"/>
      <c r="AF26" s="55"/>
      <c r="AG26" s="49"/>
      <c r="AH26" s="49"/>
      <c r="AI26" s="49"/>
      <c r="AJ26" s="49"/>
      <c r="AK26" s="49"/>
    </row>
    <row r="27" ht="12" customHeight="1">
      <c r="B27" s="47"/>
      <c r="C27" s="48"/>
      <c r="D27" s="49"/>
      <c r="E27" s="49"/>
      <c r="F27" s="57"/>
      <c r="G27" s="60"/>
      <c r="H27" s="61"/>
      <c r="I27" s="49"/>
      <c r="J27" s="49"/>
      <c r="K27" s="49"/>
      <c r="L27" s="53"/>
      <c r="M27" s="49"/>
      <c r="N27" s="54"/>
      <c r="O27" s="55"/>
      <c r="P27" s="49"/>
      <c r="Q27" s="49"/>
      <c r="R27" s="49"/>
      <c r="S27" s="49"/>
      <c r="T27" s="49"/>
      <c r="U27" s="49"/>
      <c r="V27" s="54"/>
      <c r="W27" s="56"/>
      <c r="X27" s="49"/>
      <c r="Y27" s="49"/>
      <c r="Z27" s="54"/>
      <c r="AA27" s="55"/>
      <c r="AB27" s="49"/>
      <c r="AC27" s="49"/>
      <c r="AD27" s="53"/>
      <c r="AE27" s="54"/>
      <c r="AF27" s="55"/>
      <c r="AG27" s="49"/>
      <c r="AH27" s="49"/>
      <c r="AI27" s="49"/>
      <c r="AJ27" s="49"/>
      <c r="AK27" s="49"/>
    </row>
    <row r="28" ht="12" customHeight="1">
      <c r="B28" s="47"/>
      <c r="C28" s="48" t="s">
        <v>122</v>
      </c>
      <c r="D28" s="49"/>
      <c r="E28" s="49"/>
      <c r="F28" s="57"/>
      <c r="G28" s="54"/>
      <c r="H28" s="52"/>
      <c r="I28" s="63"/>
      <c r="J28" s="63"/>
      <c r="K28" s="63"/>
      <c r="L28" s="53"/>
      <c r="M28" s="49"/>
      <c r="N28" s="54"/>
      <c r="O28" s="55"/>
      <c r="P28" s="49"/>
      <c r="Q28" s="49"/>
      <c r="R28" s="49"/>
      <c r="S28" s="49"/>
      <c r="T28" s="49"/>
      <c r="U28" s="49"/>
      <c r="V28" s="54"/>
      <c r="W28" s="56"/>
      <c r="X28" s="49"/>
      <c r="Y28" s="49"/>
      <c r="Z28" s="54"/>
      <c r="AA28" s="55"/>
      <c r="AB28" s="49"/>
      <c r="AC28" s="49"/>
      <c r="AD28" s="53"/>
      <c r="AE28" s="54"/>
      <c r="AF28" s="55"/>
      <c r="AG28" s="49"/>
      <c r="AH28" s="49"/>
      <c r="AI28" s="49"/>
      <c r="AJ28" s="49"/>
      <c r="AK28" s="49"/>
    </row>
    <row r="29" ht="12" customHeight="1">
      <c r="B29" s="47"/>
      <c r="C29" s="48"/>
      <c r="D29" s="49"/>
      <c r="E29" s="49"/>
      <c r="F29" s="57"/>
      <c r="G29" s="60"/>
      <c r="H29" s="61"/>
      <c r="I29" s="49"/>
      <c r="J29" s="64"/>
      <c r="K29" s="49"/>
      <c r="L29" s="53"/>
      <c r="M29" s="49"/>
      <c r="N29" s="54"/>
      <c r="O29" s="55"/>
      <c r="P29" s="49"/>
      <c r="Q29" s="49"/>
      <c r="R29" s="49"/>
      <c r="S29" s="49"/>
      <c r="T29" s="49"/>
      <c r="U29" s="49"/>
      <c r="V29" s="54"/>
      <c r="W29" s="56"/>
      <c r="X29" s="49"/>
      <c r="Y29" s="49"/>
      <c r="Z29" s="54"/>
      <c r="AA29" s="55"/>
      <c r="AB29" s="49"/>
      <c r="AC29" s="49"/>
      <c r="AD29" s="53"/>
      <c r="AE29" s="54"/>
      <c r="AF29" s="55"/>
      <c r="AG29" s="49"/>
      <c r="AH29" s="49"/>
      <c r="AI29" s="49"/>
      <c r="AJ29" s="49"/>
      <c r="AK29" s="49"/>
    </row>
    <row r="30" ht="12" customHeight="1">
      <c r="B30" s="47"/>
      <c r="C30" s="48" t="s">
        <v>123</v>
      </c>
      <c r="D30" s="49"/>
      <c r="E30" s="49"/>
      <c r="F30" s="57"/>
      <c r="G30" s="54"/>
      <c r="H30" s="52"/>
      <c r="I30" s="63"/>
      <c r="J30" s="63"/>
      <c r="K30" s="63"/>
      <c r="L30" s="53"/>
      <c r="M30" s="63"/>
      <c r="N30" s="54"/>
      <c r="O30" s="55"/>
      <c r="P30" s="49"/>
      <c r="Q30" s="49"/>
      <c r="R30" s="49"/>
      <c r="S30" s="49"/>
      <c r="T30" s="49"/>
      <c r="U30" s="49"/>
      <c r="V30" s="54"/>
      <c r="W30" s="56"/>
      <c r="X30" s="49"/>
      <c r="Y30" s="49"/>
      <c r="Z30" s="54"/>
      <c r="AA30" s="55"/>
      <c r="AB30" s="49"/>
      <c r="AC30" s="49"/>
      <c r="AD30" s="53"/>
      <c r="AE30" s="54"/>
      <c r="AF30" s="55"/>
      <c r="AG30" s="49"/>
      <c r="AH30" s="49"/>
      <c r="AI30" s="49"/>
      <c r="AJ30" s="49"/>
      <c r="AK30" s="49"/>
    </row>
    <row r="31" ht="12" customHeight="1">
      <c r="B31" s="47"/>
      <c r="C31" s="48"/>
      <c r="D31" s="49"/>
      <c r="E31" s="49"/>
      <c r="F31" s="59"/>
      <c r="G31" s="60"/>
      <c r="H31" s="61"/>
      <c r="I31" s="49"/>
      <c r="J31" s="64"/>
      <c r="K31" s="64"/>
      <c r="L31" s="73"/>
      <c r="M31" s="49"/>
      <c r="N31" s="60"/>
      <c r="O31" s="55"/>
      <c r="P31" s="49"/>
      <c r="Q31" s="49"/>
      <c r="R31" s="49"/>
      <c r="S31" s="49"/>
      <c r="T31" s="49"/>
      <c r="U31" s="49"/>
      <c r="V31" s="54"/>
      <c r="W31" s="56"/>
      <c r="X31" s="49"/>
      <c r="Y31" s="49"/>
      <c r="Z31" s="54"/>
      <c r="AA31" s="55"/>
      <c r="AB31" s="49"/>
      <c r="AC31" s="49"/>
      <c r="AD31" s="53"/>
      <c r="AE31" s="54"/>
      <c r="AF31" s="55"/>
      <c r="AG31" s="49"/>
      <c r="AH31" s="49"/>
      <c r="AI31" s="49"/>
      <c r="AJ31" s="49"/>
      <c r="AK31" s="49"/>
    </row>
    <row r="32" ht="12" customHeight="1">
      <c r="B32" s="47"/>
      <c r="C32" s="48" t="s">
        <v>124</v>
      </c>
      <c r="D32" s="49"/>
      <c r="E32" s="49"/>
      <c r="F32" s="57"/>
      <c r="G32" s="54"/>
      <c r="H32" s="55"/>
      <c r="I32" s="49"/>
      <c r="J32" s="49"/>
      <c r="K32" s="49"/>
      <c r="L32" s="53"/>
      <c r="M32" s="63"/>
      <c r="N32" s="51"/>
      <c r="O32" s="55"/>
      <c r="P32" s="49"/>
      <c r="Q32" s="49"/>
      <c r="R32" s="49"/>
      <c r="S32" s="49"/>
      <c r="T32" s="49"/>
      <c r="U32" s="49"/>
      <c r="V32" s="54"/>
      <c r="W32" s="56"/>
      <c r="X32" s="49"/>
      <c r="Y32" s="49"/>
      <c r="Z32" s="54"/>
      <c r="AA32" s="55"/>
      <c r="AB32" s="49"/>
      <c r="AC32" s="49"/>
      <c r="AD32" s="53"/>
      <c r="AE32" s="54"/>
      <c r="AF32" s="55"/>
      <c r="AG32" s="49"/>
      <c r="AH32" s="49"/>
      <c r="AI32" s="49"/>
      <c r="AJ32" s="49"/>
      <c r="AK32" s="49"/>
    </row>
    <row r="33" ht="12" customHeight="1">
      <c r="B33" s="47"/>
      <c r="C33" s="48"/>
      <c r="D33" s="49"/>
      <c r="E33" s="49"/>
      <c r="F33" s="57"/>
      <c r="G33" s="54"/>
      <c r="H33" s="55"/>
      <c r="I33" s="49"/>
      <c r="J33" s="49"/>
      <c r="K33" s="49"/>
      <c r="L33" s="53"/>
      <c r="M33" s="49"/>
      <c r="N33" s="60"/>
      <c r="O33" s="55"/>
      <c r="P33" s="49"/>
      <c r="Q33" s="49"/>
      <c r="R33" s="49"/>
      <c r="S33" s="49"/>
      <c r="T33" s="49"/>
      <c r="U33" s="49"/>
      <c r="V33" s="54"/>
      <c r="W33" s="56"/>
      <c r="X33" s="49"/>
      <c r="Y33" s="49"/>
      <c r="Z33" s="54"/>
      <c r="AA33" s="55"/>
      <c r="AB33" s="49"/>
      <c r="AC33" s="49"/>
      <c r="AD33" s="53"/>
      <c r="AE33" s="54"/>
      <c r="AF33" s="55"/>
      <c r="AG33" s="49"/>
      <c r="AH33" s="49"/>
      <c r="AI33" s="49"/>
      <c r="AJ33" s="49"/>
      <c r="AK33" s="49"/>
    </row>
    <row r="34" ht="12" customHeight="1">
      <c r="B34" s="65" t="s">
        <v>125</v>
      </c>
      <c r="C34" s="74" t="s">
        <v>126</v>
      </c>
      <c r="D34" s="68"/>
      <c r="E34" s="68"/>
      <c r="F34" s="71"/>
      <c r="G34" s="69"/>
      <c r="H34" s="67"/>
      <c r="I34" s="68"/>
      <c r="J34" s="68"/>
      <c r="K34" s="68"/>
      <c r="L34" s="53"/>
      <c r="M34" s="63"/>
      <c r="N34" s="51"/>
      <c r="O34" s="52"/>
      <c r="P34" s="63"/>
      <c r="Q34" s="63"/>
      <c r="R34" s="63"/>
      <c r="S34" s="68"/>
      <c r="T34" s="68"/>
      <c r="U34" s="68"/>
      <c r="V34" s="69"/>
      <c r="W34" s="56"/>
      <c r="X34" s="68"/>
      <c r="Y34" s="68"/>
      <c r="Z34" s="69"/>
      <c r="AA34" s="67"/>
      <c r="AB34" s="68"/>
      <c r="AC34" s="68"/>
      <c r="AD34" s="53"/>
      <c r="AE34" s="69"/>
      <c r="AF34" s="67"/>
      <c r="AG34" s="68"/>
      <c r="AH34" s="68"/>
      <c r="AI34" s="68"/>
      <c r="AJ34" s="68"/>
      <c r="AK34" s="68"/>
    </row>
    <row r="35" ht="12" customHeight="1">
      <c r="B35" s="65"/>
      <c r="C35" s="74"/>
      <c r="D35" s="68"/>
      <c r="E35" s="68"/>
      <c r="F35" s="71"/>
      <c r="G35" s="69"/>
      <c r="H35" s="67"/>
      <c r="I35" s="68"/>
      <c r="J35" s="68"/>
      <c r="K35" s="75"/>
      <c r="L35" s="53"/>
      <c r="M35" s="68"/>
      <c r="N35" s="60"/>
      <c r="O35" s="67"/>
      <c r="P35" s="62"/>
      <c r="Q35" s="68"/>
      <c r="R35" s="76"/>
      <c r="S35" s="76"/>
      <c r="T35" s="58"/>
      <c r="U35" s="68"/>
      <c r="V35" s="69"/>
      <c r="W35" s="56"/>
      <c r="X35" s="68"/>
      <c r="Y35" s="68"/>
      <c r="Z35" s="69"/>
      <c r="AA35" s="67"/>
      <c r="AB35" s="68"/>
      <c r="AC35" s="68"/>
      <c r="AD35" s="53"/>
      <c r="AE35" s="69"/>
      <c r="AF35" s="67"/>
      <c r="AG35" s="68"/>
      <c r="AH35" s="68"/>
      <c r="AI35" s="68"/>
      <c r="AJ35" s="68"/>
      <c r="AK35" s="68"/>
    </row>
    <row r="36" ht="12" customHeight="1">
      <c r="B36" s="65"/>
      <c r="C36" s="74" t="s">
        <v>127</v>
      </c>
      <c r="D36" s="68"/>
      <c r="E36" s="68"/>
      <c r="F36" s="71"/>
      <c r="G36" s="69"/>
      <c r="H36" s="67"/>
      <c r="I36" s="68"/>
      <c r="J36" s="68"/>
      <c r="K36" s="68"/>
      <c r="L36" s="53"/>
      <c r="M36" s="63"/>
      <c r="N36" s="51"/>
      <c r="O36" s="52"/>
      <c r="P36" s="63"/>
      <c r="Q36" s="68"/>
      <c r="R36" s="68"/>
      <c r="S36" s="68"/>
      <c r="T36" s="68"/>
      <c r="U36" s="68"/>
      <c r="V36" s="69"/>
      <c r="W36" s="56"/>
      <c r="X36" s="68"/>
      <c r="Y36" s="68"/>
      <c r="Z36" s="69"/>
      <c r="AA36" s="67"/>
      <c r="AB36" s="68"/>
      <c r="AC36" s="68"/>
      <c r="AD36" s="53"/>
      <c r="AE36" s="69"/>
      <c r="AF36" s="67"/>
      <c r="AG36" s="68"/>
      <c r="AH36" s="68"/>
      <c r="AI36" s="68"/>
      <c r="AJ36" s="68"/>
      <c r="AK36" s="68"/>
    </row>
    <row r="37" ht="12" customHeight="1">
      <c r="B37" s="65"/>
      <c r="C37" s="74"/>
      <c r="D37" s="68"/>
      <c r="E37" s="68"/>
      <c r="F37" s="71"/>
      <c r="G37" s="69"/>
      <c r="H37" s="67"/>
      <c r="I37" s="68"/>
      <c r="J37" s="68"/>
      <c r="K37" s="75"/>
      <c r="L37" s="53"/>
      <c r="M37" s="68"/>
      <c r="N37" s="69"/>
      <c r="O37" s="67"/>
      <c r="P37" s="62"/>
      <c r="Q37" s="68"/>
      <c r="R37" s="76"/>
      <c r="S37" s="76"/>
      <c r="T37" s="58"/>
      <c r="U37" s="68"/>
      <c r="V37" s="69"/>
      <c r="W37" s="56"/>
      <c r="X37" s="68"/>
      <c r="Y37" s="68"/>
      <c r="Z37" s="69"/>
      <c r="AA37" s="67"/>
      <c r="AB37" s="68"/>
      <c r="AC37" s="68"/>
      <c r="AD37" s="53"/>
      <c r="AE37" s="69"/>
      <c r="AF37" s="67"/>
      <c r="AG37" s="68"/>
      <c r="AH37" s="68"/>
      <c r="AI37" s="68"/>
      <c r="AJ37" s="68"/>
      <c r="AK37" s="68"/>
    </row>
    <row r="38" ht="12" customHeight="1">
      <c r="B38" s="65"/>
      <c r="C38" s="74" t="s">
        <v>128</v>
      </c>
      <c r="D38" s="68"/>
      <c r="E38" s="68"/>
      <c r="F38" s="71"/>
      <c r="G38" s="69"/>
      <c r="H38" s="67"/>
      <c r="I38" s="68"/>
      <c r="J38" s="68"/>
      <c r="K38" s="68"/>
      <c r="L38" s="53"/>
      <c r="M38" s="68"/>
      <c r="N38" s="69"/>
      <c r="O38" s="52"/>
      <c r="P38" s="63"/>
      <c r="Q38" s="63"/>
      <c r="R38" s="63"/>
      <c r="S38" s="63"/>
      <c r="T38" s="63"/>
      <c r="U38" s="63"/>
      <c r="V38" s="51"/>
      <c r="W38" s="56"/>
      <c r="X38" s="63"/>
      <c r="Y38" s="63"/>
      <c r="Z38" s="69"/>
      <c r="AA38" s="67"/>
      <c r="AB38" s="68"/>
      <c r="AC38" s="68"/>
      <c r="AD38" s="53"/>
      <c r="AE38" s="69"/>
      <c r="AF38" s="67"/>
      <c r="AG38" s="68"/>
      <c r="AH38" s="68"/>
      <c r="AI38" s="68"/>
      <c r="AJ38" s="68"/>
      <c r="AK38" s="68"/>
    </row>
    <row r="39" ht="12" customHeight="1">
      <c r="B39" s="65"/>
      <c r="C39" s="74"/>
      <c r="D39" s="68"/>
      <c r="E39" s="68"/>
      <c r="F39" s="71"/>
      <c r="G39" s="69"/>
      <c r="H39" s="67"/>
      <c r="I39" s="68"/>
      <c r="J39" s="68"/>
      <c r="K39" s="68"/>
      <c r="L39" s="53"/>
      <c r="M39" s="68"/>
      <c r="N39" s="69"/>
      <c r="O39" s="67"/>
      <c r="P39" s="68"/>
      <c r="Q39" s="68"/>
      <c r="R39" s="75"/>
      <c r="S39" s="75"/>
      <c r="T39" s="68"/>
      <c r="U39" s="68"/>
      <c r="V39" s="69"/>
      <c r="W39" s="56"/>
      <c r="X39" s="68"/>
      <c r="Y39" s="68"/>
      <c r="Z39" s="69"/>
      <c r="AA39" s="67"/>
      <c r="AB39" s="68"/>
      <c r="AC39" s="68"/>
      <c r="AD39" s="53"/>
      <c r="AE39" s="69"/>
      <c r="AF39" s="67"/>
      <c r="AG39" s="68"/>
      <c r="AH39" s="68"/>
      <c r="AI39" s="68"/>
      <c r="AJ39" s="68"/>
      <c r="AK39" s="68"/>
    </row>
    <row r="40" ht="12" customHeight="1">
      <c r="B40" s="65"/>
      <c r="C40" s="74" t="s">
        <v>129</v>
      </c>
      <c r="D40" s="68"/>
      <c r="E40" s="68"/>
      <c r="F40" s="71"/>
      <c r="G40" s="69"/>
      <c r="H40" s="67"/>
      <c r="I40" s="68"/>
      <c r="J40" s="68"/>
      <c r="K40" s="68"/>
      <c r="L40" s="53"/>
      <c r="M40" s="68"/>
      <c r="N40" s="69"/>
      <c r="O40" s="67"/>
      <c r="P40" s="68"/>
      <c r="Q40" s="68"/>
      <c r="R40" s="63"/>
      <c r="S40" s="63"/>
      <c r="T40" s="63"/>
      <c r="U40" s="63"/>
      <c r="V40" s="51"/>
      <c r="W40" s="56"/>
      <c r="X40" s="63"/>
      <c r="Y40" s="63"/>
      <c r="Z40" s="51"/>
      <c r="AA40" s="52"/>
      <c r="AB40" s="63"/>
      <c r="AC40" s="63"/>
      <c r="AD40" s="53"/>
      <c r="AE40" s="69"/>
      <c r="AF40" s="67"/>
      <c r="AG40" s="68"/>
      <c r="AH40" s="68"/>
      <c r="AI40" s="68"/>
      <c r="AJ40" s="68"/>
      <c r="AK40" s="68"/>
    </row>
    <row r="41" ht="12" customHeight="1">
      <c r="B41" s="65"/>
      <c r="C41" s="74"/>
      <c r="D41" s="68"/>
      <c r="E41" s="68"/>
      <c r="F41" s="71"/>
      <c r="G41" s="69"/>
      <c r="H41" s="67"/>
      <c r="I41" s="68"/>
      <c r="J41" s="68"/>
      <c r="K41" s="68"/>
      <c r="L41" s="53"/>
      <c r="M41" s="68"/>
      <c r="N41" s="69"/>
      <c r="O41" s="67"/>
      <c r="P41" s="68"/>
      <c r="Q41" s="62"/>
      <c r="R41" s="75"/>
      <c r="S41" s="75"/>
      <c r="T41" s="62"/>
      <c r="U41" s="68"/>
      <c r="V41" s="69"/>
      <c r="W41" s="56"/>
      <c r="X41" s="68"/>
      <c r="Y41" s="68"/>
      <c r="Z41" s="69"/>
      <c r="AA41" s="67"/>
      <c r="AB41" s="68"/>
      <c r="AC41" s="68"/>
      <c r="AD41" s="53"/>
      <c r="AE41" s="69"/>
      <c r="AF41" s="67"/>
      <c r="AG41" s="68"/>
      <c r="AH41" s="68"/>
      <c r="AI41" s="68"/>
      <c r="AJ41" s="68"/>
      <c r="AK41" s="68"/>
    </row>
    <row r="42" ht="12" customHeight="1">
      <c r="B42" s="47" t="s">
        <v>21</v>
      </c>
      <c r="C42" s="77" t="s">
        <v>130</v>
      </c>
      <c r="D42" s="49"/>
      <c r="E42" s="49"/>
      <c r="F42" s="57"/>
      <c r="G42" s="54"/>
      <c r="H42" s="55"/>
      <c r="I42" s="49"/>
      <c r="J42" s="49"/>
      <c r="K42" s="49"/>
      <c r="L42" s="53"/>
      <c r="M42" s="49"/>
      <c r="N42" s="54"/>
      <c r="O42" s="55"/>
      <c r="P42" s="63"/>
      <c r="Q42" s="63"/>
      <c r="R42" s="49"/>
      <c r="S42" s="49"/>
      <c r="T42" s="62"/>
      <c r="U42" s="49"/>
      <c r="V42" s="51"/>
      <c r="W42" s="56"/>
      <c r="X42" s="63"/>
      <c r="Y42" s="63"/>
      <c r="Z42" s="51"/>
      <c r="AA42" s="52"/>
      <c r="AB42" s="63"/>
      <c r="AC42" s="63"/>
      <c r="AD42" s="53"/>
      <c r="AE42" s="54"/>
      <c r="AF42" s="55"/>
      <c r="AG42" s="49"/>
      <c r="AH42" s="49"/>
      <c r="AI42" s="49"/>
      <c r="AJ42" s="49"/>
      <c r="AK42" s="49"/>
    </row>
    <row r="43" ht="12" customHeight="1">
      <c r="B43" s="47"/>
      <c r="C43" s="77"/>
      <c r="D43" s="49"/>
      <c r="E43" s="49"/>
      <c r="F43" s="57"/>
      <c r="G43" s="54"/>
      <c r="H43" s="55"/>
      <c r="I43" s="49"/>
      <c r="J43" s="49"/>
      <c r="K43" s="49"/>
      <c r="L43" s="53"/>
      <c r="M43" s="49"/>
      <c r="N43" s="54"/>
      <c r="O43" s="55"/>
      <c r="P43" s="49"/>
      <c r="Q43" s="62"/>
      <c r="R43" s="49"/>
      <c r="S43" s="64"/>
      <c r="T43" s="49"/>
      <c r="U43" s="49"/>
      <c r="V43" s="54"/>
      <c r="W43" s="56"/>
      <c r="X43" s="49"/>
      <c r="Y43" s="49"/>
      <c r="Z43" s="54"/>
      <c r="AA43" s="55"/>
      <c r="AB43" s="49"/>
      <c r="AC43" s="49"/>
      <c r="AD43" s="53"/>
      <c r="AE43" s="54"/>
      <c r="AF43" s="55"/>
      <c r="AG43" s="49"/>
      <c r="AH43" s="49"/>
      <c r="AI43" s="49"/>
      <c r="AJ43" s="49"/>
      <c r="AK43" s="49"/>
    </row>
    <row r="44" ht="12" customHeight="1">
      <c r="B44" s="47"/>
      <c r="C44" s="77" t="s">
        <v>131</v>
      </c>
      <c r="D44" s="49"/>
      <c r="E44" s="49"/>
      <c r="F44" s="57"/>
      <c r="G44" s="54"/>
      <c r="H44" s="55"/>
      <c r="I44" s="49"/>
      <c r="J44" s="49"/>
      <c r="K44" s="49"/>
      <c r="L44" s="53"/>
      <c r="M44" s="49"/>
      <c r="N44" s="54"/>
      <c r="O44" s="55"/>
      <c r="P44" s="63"/>
      <c r="Q44" s="63"/>
      <c r="R44" s="49"/>
      <c r="S44" s="49"/>
      <c r="T44" s="49"/>
      <c r="U44" s="49"/>
      <c r="V44" s="54"/>
      <c r="W44" s="56"/>
      <c r="X44" s="63"/>
      <c r="Y44" s="63"/>
      <c r="Z44" s="54"/>
      <c r="AA44" s="55"/>
      <c r="AB44" s="49"/>
      <c r="AC44" s="63"/>
      <c r="AD44" s="53"/>
      <c r="AE44" s="51"/>
      <c r="AF44" s="52"/>
      <c r="AG44" s="49"/>
      <c r="AH44" s="49"/>
      <c r="AI44" s="63"/>
      <c r="AJ44" s="49"/>
      <c r="AK44" s="49"/>
    </row>
    <row r="45" ht="12" customHeight="1">
      <c r="B45" s="47"/>
      <c r="C45" s="77"/>
      <c r="D45" s="49"/>
      <c r="E45" s="49"/>
      <c r="F45" s="57"/>
      <c r="G45" s="54"/>
      <c r="H45" s="55"/>
      <c r="I45" s="49"/>
      <c r="J45" s="49"/>
      <c r="K45" s="49"/>
      <c r="L45" s="53"/>
      <c r="M45" s="49"/>
      <c r="N45" s="54"/>
      <c r="O45" s="55"/>
      <c r="P45" s="49"/>
      <c r="Q45" s="49"/>
      <c r="R45" s="49"/>
      <c r="S45" s="49"/>
      <c r="T45" s="49"/>
      <c r="U45" s="49"/>
      <c r="V45" s="54"/>
      <c r="W45" s="56"/>
      <c r="X45" s="49"/>
      <c r="Y45" s="49"/>
      <c r="Z45" s="54"/>
      <c r="AA45" s="55"/>
      <c r="AB45" s="49"/>
      <c r="AC45" s="49"/>
      <c r="AD45" s="53"/>
      <c r="AE45" s="54"/>
      <c r="AF45" s="55"/>
      <c r="AG45" s="49"/>
      <c r="AH45" s="49"/>
      <c r="AI45" s="49"/>
      <c r="AJ45" s="49"/>
      <c r="AK45" s="49"/>
    </row>
    <row r="46" ht="12" customHeight="1">
      <c r="B46" s="65" t="s">
        <v>132</v>
      </c>
      <c r="C46" s="66" t="s">
        <v>24</v>
      </c>
      <c r="D46" s="68"/>
      <c r="E46" s="68"/>
      <c r="F46" s="71"/>
      <c r="G46" s="69"/>
      <c r="H46" s="67"/>
      <c r="I46" s="68"/>
      <c r="J46" s="68"/>
      <c r="K46" s="68"/>
      <c r="L46" s="53"/>
      <c r="M46" s="68"/>
      <c r="N46" s="69"/>
      <c r="O46" s="67"/>
      <c r="P46" s="68"/>
      <c r="Q46" s="68"/>
      <c r="R46" s="68"/>
      <c r="S46" s="68"/>
      <c r="T46" s="68"/>
      <c r="U46" s="68"/>
      <c r="V46" s="69"/>
      <c r="W46" s="56"/>
      <c r="X46" s="68"/>
      <c r="Y46" s="68"/>
      <c r="Z46" s="69"/>
      <c r="AA46" s="67"/>
      <c r="AB46" s="68"/>
      <c r="AC46" s="68"/>
      <c r="AD46" s="53"/>
      <c r="AE46" s="69"/>
      <c r="AF46" s="67"/>
      <c r="AG46" s="68"/>
      <c r="AH46" s="68"/>
      <c r="AI46" s="68"/>
      <c r="AJ46" s="63"/>
      <c r="AK46" s="68"/>
    </row>
    <row r="47" ht="12" customHeight="1">
      <c r="B47" s="65"/>
      <c r="C47" s="66"/>
      <c r="D47" s="68"/>
      <c r="E47" s="68"/>
      <c r="F47" s="71"/>
      <c r="G47" s="69"/>
      <c r="H47" s="67"/>
      <c r="I47" s="68"/>
      <c r="J47" s="68"/>
      <c r="K47" s="68"/>
      <c r="L47" s="53"/>
      <c r="M47" s="68"/>
      <c r="N47" s="69"/>
      <c r="O47" s="67"/>
      <c r="P47" s="68"/>
      <c r="Q47" s="68"/>
      <c r="R47" s="68"/>
      <c r="S47" s="68"/>
      <c r="T47" s="68"/>
      <c r="U47" s="68"/>
      <c r="V47" s="69"/>
      <c r="W47" s="56"/>
      <c r="X47" s="68"/>
      <c r="Y47" s="68"/>
      <c r="Z47" s="69"/>
      <c r="AA47" s="67"/>
      <c r="AB47" s="68"/>
      <c r="AC47" s="68"/>
      <c r="AD47" s="53"/>
      <c r="AE47" s="69"/>
      <c r="AF47" s="67"/>
      <c r="AG47" s="68"/>
      <c r="AH47" s="68"/>
      <c r="AI47" s="68"/>
      <c r="AJ47" s="68"/>
      <c r="AK47" s="68"/>
      <c r="AN47" s="78" t="s">
        <v>133</v>
      </c>
      <c r="AO47" s="63"/>
    </row>
    <row r="48" ht="12" customHeight="1">
      <c r="B48" s="65"/>
      <c r="C48" s="66" t="s">
        <v>134</v>
      </c>
      <c r="D48" s="68"/>
      <c r="E48" s="68"/>
      <c r="F48" s="71"/>
      <c r="G48" s="69"/>
      <c r="H48" s="67"/>
      <c r="I48" s="68"/>
      <c r="J48" s="68"/>
      <c r="K48" s="68"/>
      <c r="L48" s="53"/>
      <c r="M48" s="68"/>
      <c r="N48" s="69"/>
      <c r="O48" s="67"/>
      <c r="P48" s="68"/>
      <c r="Q48" s="68"/>
      <c r="R48" s="68"/>
      <c r="S48" s="68"/>
      <c r="T48" s="68"/>
      <c r="U48" s="68"/>
      <c r="V48" s="69"/>
      <c r="W48" s="56"/>
      <c r="X48" s="68"/>
      <c r="Y48" s="68"/>
      <c r="Z48" s="69"/>
      <c r="AA48" s="67"/>
      <c r="AB48" s="68"/>
      <c r="AC48" s="68"/>
      <c r="AD48" s="53"/>
      <c r="AE48" s="69"/>
      <c r="AF48" s="67"/>
      <c r="AG48" s="68"/>
      <c r="AH48" s="68"/>
      <c r="AI48" s="68"/>
      <c r="AJ48" s="68"/>
      <c r="AK48" s="79"/>
      <c r="AN48" s="78" t="s">
        <v>135</v>
      </c>
      <c r="AO48" s="62"/>
    </row>
    <row r="49" ht="12" customHeight="1">
      <c r="B49" s="65"/>
      <c r="C49" s="66"/>
      <c r="D49" s="68"/>
      <c r="E49" s="68"/>
      <c r="F49" s="71"/>
      <c r="G49" s="69"/>
      <c r="H49" s="67"/>
      <c r="I49" s="68"/>
      <c r="J49" s="68"/>
      <c r="K49" s="68"/>
      <c r="L49" s="53"/>
      <c r="M49" s="68"/>
      <c r="N49" s="69"/>
      <c r="O49" s="67"/>
      <c r="P49" s="68"/>
      <c r="Q49" s="68"/>
      <c r="R49" s="68"/>
      <c r="S49" s="68"/>
      <c r="T49" s="68"/>
      <c r="U49" s="68"/>
      <c r="V49" s="69"/>
      <c r="W49" s="56"/>
      <c r="X49" s="68"/>
      <c r="Y49" s="68"/>
      <c r="Z49" s="69"/>
      <c r="AA49" s="67"/>
      <c r="AB49" s="68"/>
      <c r="AC49" s="68"/>
      <c r="AD49" s="53"/>
      <c r="AE49" s="69"/>
      <c r="AF49" s="67"/>
      <c r="AG49" s="68"/>
      <c r="AH49" s="68"/>
      <c r="AI49" s="68"/>
      <c r="AJ49" s="68"/>
      <c r="AK49" s="68"/>
      <c r="AN49" s="78" t="s">
        <v>136</v>
      </c>
      <c r="AO49" s="58"/>
    </row>
  </sheetData>
  <mergeCells count="30">
    <mergeCell ref="B2:B13"/>
    <mergeCell ref="C2:C3"/>
    <mergeCell ref="C4:C5"/>
    <mergeCell ref="C6:C7"/>
    <mergeCell ref="C8:C9"/>
    <mergeCell ref="C10:C11"/>
    <mergeCell ref="C12:C13"/>
    <mergeCell ref="B14:B25"/>
    <mergeCell ref="C14:C15"/>
    <mergeCell ref="C16:C17"/>
    <mergeCell ref="C18:C19"/>
    <mergeCell ref="C20:C21"/>
    <mergeCell ref="C22:C23"/>
    <mergeCell ref="C24:C25"/>
    <mergeCell ref="B26:B33"/>
    <mergeCell ref="C26:C27"/>
    <mergeCell ref="C28:C29"/>
    <mergeCell ref="C30:C31"/>
    <mergeCell ref="C32:C33"/>
    <mergeCell ref="B34:B41"/>
    <mergeCell ref="C34:C35"/>
    <mergeCell ref="C36:C37"/>
    <mergeCell ref="C38:C39"/>
    <mergeCell ref="C40:C41"/>
    <mergeCell ref="B42:B45"/>
    <mergeCell ref="C42:C43"/>
    <mergeCell ref="C44:C45"/>
    <mergeCell ref="B46:B49"/>
    <mergeCell ref="C46:C47"/>
    <mergeCell ref="C48:C49"/>
  </mergeCells>
  <printOptions headings="0" gridLines="0"/>
  <pageMargins left="0.70078740157480324" right="0.70078740157480324" top="0.75196850393700787" bottom="0.75196850393700787"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9"/>
    <outlinePr applyStyles="0" summaryBelow="1" summaryRight="1" showOutlineSymbols="1"/>
    <pageSetUpPr autoPageBreaks="1" fitToPage="0"/>
  </sheetPr>
  <sheetViews>
    <sheetView zoomScale="115" workbookViewId="0">
      <selection activeCell="A1" activeCellId="0" sqref="A1"/>
    </sheetView>
  </sheetViews>
  <sheetFormatPr baseColWidth="10" defaultColWidth="8.88671875" defaultRowHeight="14.4"/>
  <cols>
    <col customWidth="1" min="1" max="1" width="2.88671875"/>
    <col customWidth="1" min="2" max="2" width="6.5546875"/>
    <col bestFit="1" customWidth="1" min="3" max="3" width="31.21875"/>
    <col customWidth="1" min="4" max="4" width="3.33203125"/>
    <col customWidth="1" min="5" max="19" width="4.33203125"/>
    <col customWidth="1" min="20" max="20" width="3.21875"/>
    <col customWidth="1" min="21" max="21" width="2.88671875"/>
    <col customWidth="1" min="22" max="22" width="17.21875"/>
    <col bestFit="1" customWidth="1" min="30" max="30" width="10.109375"/>
  </cols>
  <sheetData>
    <row r="1">
      <c r="B1" s="80"/>
    </row>
    <row r="2" ht="56.399999999999999" customHeight="1">
      <c r="B2" s="81" t="s">
        <v>80</v>
      </c>
      <c r="C2" s="82" t="s">
        <v>81</v>
      </c>
      <c r="D2" s="83" t="s">
        <v>137</v>
      </c>
      <c r="E2" s="84" t="s">
        <v>138</v>
      </c>
      <c r="F2" s="85" t="s">
        <v>139</v>
      </c>
      <c r="G2" s="85"/>
      <c r="H2" s="85"/>
      <c r="I2" s="84"/>
      <c r="J2" s="85" t="s">
        <v>140</v>
      </c>
      <c r="K2" s="85"/>
      <c r="L2" s="85"/>
      <c r="M2" s="84"/>
      <c r="N2" s="85" t="s">
        <v>141</v>
      </c>
      <c r="O2" s="85"/>
      <c r="P2" s="85"/>
      <c r="Q2" s="84"/>
      <c r="R2" s="85" t="s">
        <v>142</v>
      </c>
      <c r="S2" s="86"/>
      <c r="AD2" s="29"/>
    </row>
    <row r="3">
      <c r="B3" s="87"/>
      <c r="C3" s="88"/>
      <c r="D3" s="89" t="s">
        <v>143</v>
      </c>
      <c r="E3" s="90">
        <v>4</v>
      </c>
      <c r="F3" s="91">
        <v>1</v>
      </c>
      <c r="G3" s="92">
        <v>2</v>
      </c>
      <c r="H3" s="92">
        <v>3</v>
      </c>
      <c r="I3" s="90">
        <v>4</v>
      </c>
      <c r="J3" s="91">
        <v>1</v>
      </c>
      <c r="K3" s="92">
        <v>2</v>
      </c>
      <c r="L3" s="92">
        <v>3</v>
      </c>
      <c r="M3" s="90">
        <v>4</v>
      </c>
      <c r="N3" s="91">
        <v>1</v>
      </c>
      <c r="O3" s="92">
        <v>2</v>
      </c>
      <c r="P3" s="92">
        <v>3</v>
      </c>
      <c r="Q3" s="90">
        <v>4</v>
      </c>
      <c r="R3" s="91">
        <v>1</v>
      </c>
      <c r="S3" s="93">
        <v>2</v>
      </c>
      <c r="U3" t="s">
        <v>144</v>
      </c>
    </row>
    <row r="4" ht="12" customHeight="1">
      <c r="B4" s="94" t="s">
        <v>145</v>
      </c>
      <c r="C4" s="82" t="s">
        <v>146</v>
      </c>
      <c r="D4" s="95"/>
      <c r="E4" s="96"/>
      <c r="F4" s="97"/>
      <c r="G4" s="98"/>
      <c r="H4" s="98"/>
      <c r="I4" s="96"/>
      <c r="J4" s="99"/>
      <c r="K4" s="98"/>
      <c r="L4" s="98"/>
      <c r="M4" s="96"/>
      <c r="N4" s="99"/>
      <c r="O4" s="98"/>
      <c r="P4" s="98"/>
      <c r="Q4" s="96"/>
      <c r="R4" s="99"/>
      <c r="S4" s="100"/>
      <c r="U4" t="s">
        <v>147</v>
      </c>
    </row>
    <row r="5" ht="12" customHeight="1">
      <c r="B5" s="94"/>
      <c r="C5" s="101"/>
      <c r="D5" s="102"/>
      <c r="E5" s="103"/>
      <c r="F5" s="104"/>
      <c r="G5" s="105"/>
      <c r="H5" s="106"/>
      <c r="I5" s="103"/>
      <c r="J5" s="107"/>
      <c r="K5" s="106"/>
      <c r="L5" s="106"/>
      <c r="M5" s="103"/>
      <c r="N5" s="107"/>
      <c r="O5" s="106"/>
      <c r="P5" s="106"/>
      <c r="Q5" s="103"/>
      <c r="R5" s="107"/>
      <c r="S5" s="108"/>
    </row>
    <row r="6" ht="12" customHeight="1">
      <c r="B6" s="94"/>
      <c r="C6" s="109" t="s">
        <v>148</v>
      </c>
      <c r="D6" s="110"/>
      <c r="E6" s="111"/>
      <c r="F6" s="112"/>
      <c r="G6" s="113"/>
      <c r="H6" s="114"/>
      <c r="I6" s="111"/>
      <c r="J6" s="115"/>
      <c r="K6" s="114"/>
      <c r="L6" s="114"/>
      <c r="M6" s="111"/>
      <c r="N6" s="115"/>
      <c r="O6" s="114"/>
      <c r="P6" s="114"/>
      <c r="Q6" s="111"/>
      <c r="R6" s="115"/>
      <c r="S6" s="116"/>
      <c r="U6" s="117" t="s">
        <v>149</v>
      </c>
      <c r="V6" s="117"/>
    </row>
    <row r="7" ht="12" customHeight="1">
      <c r="B7" s="94"/>
      <c r="C7" s="101"/>
      <c r="D7" s="102"/>
      <c r="E7" s="103"/>
      <c r="F7" s="107"/>
      <c r="G7" s="105"/>
      <c r="H7" s="105"/>
      <c r="I7" s="103"/>
      <c r="J7" s="107"/>
      <c r="K7" s="106"/>
      <c r="L7" s="106"/>
      <c r="M7" s="103"/>
      <c r="N7" s="107"/>
      <c r="O7" s="106"/>
      <c r="P7" s="106"/>
      <c r="Q7" s="103"/>
      <c r="R7" s="107"/>
      <c r="S7" s="108"/>
      <c r="U7" t="s">
        <v>150</v>
      </c>
    </row>
    <row r="8" ht="12" customHeight="1">
      <c r="B8" s="94"/>
      <c r="C8" s="109" t="s">
        <v>151</v>
      </c>
      <c r="D8" s="110"/>
      <c r="E8" s="111"/>
      <c r="F8" s="112"/>
      <c r="G8" s="114"/>
      <c r="H8" s="114"/>
      <c r="I8" s="111"/>
      <c r="J8" s="115"/>
      <c r="K8" s="114"/>
      <c r="L8" s="114"/>
      <c r="M8" s="111"/>
      <c r="N8" s="115"/>
      <c r="O8" s="114"/>
      <c r="P8" s="114"/>
      <c r="Q8" s="111"/>
      <c r="R8" s="115"/>
      <c r="S8" s="116"/>
      <c r="U8" t="s">
        <v>152</v>
      </c>
    </row>
    <row r="9" ht="12" customHeight="1">
      <c r="B9" s="94"/>
      <c r="C9" s="101"/>
      <c r="D9" s="102"/>
      <c r="E9" s="103"/>
      <c r="F9" s="107"/>
      <c r="G9" s="105"/>
      <c r="H9" s="106"/>
      <c r="I9" s="103"/>
      <c r="J9" s="107"/>
      <c r="K9" s="106"/>
      <c r="L9" s="106"/>
      <c r="M9" s="103"/>
      <c r="N9" s="107"/>
      <c r="O9" s="106"/>
      <c r="P9" s="106"/>
      <c r="Q9" s="103"/>
      <c r="R9" s="107"/>
      <c r="S9" s="108"/>
    </row>
    <row r="10" ht="12" customHeight="1">
      <c r="B10" s="94"/>
      <c r="C10" s="109" t="s">
        <v>153</v>
      </c>
      <c r="D10" s="110"/>
      <c r="E10" s="111"/>
      <c r="F10" s="115"/>
      <c r="G10" s="113"/>
      <c r="H10" s="113"/>
      <c r="I10" s="111"/>
      <c r="J10" s="115"/>
      <c r="K10" s="114"/>
      <c r="L10" s="114"/>
      <c r="M10" s="111"/>
      <c r="N10" s="115"/>
      <c r="O10" s="114"/>
      <c r="P10" s="114"/>
      <c r="Q10" s="111"/>
      <c r="R10" s="115"/>
      <c r="S10" s="116"/>
    </row>
    <row r="11" ht="12" customHeight="1">
      <c r="B11" s="118"/>
      <c r="C11" s="119"/>
      <c r="D11" s="120"/>
      <c r="E11" s="121"/>
      <c r="F11" s="122"/>
      <c r="G11" s="123"/>
      <c r="H11" s="123"/>
      <c r="I11" s="121"/>
      <c r="J11" s="122"/>
      <c r="K11" s="124"/>
      <c r="L11" s="124"/>
      <c r="M11" s="121"/>
      <c r="N11" s="122"/>
      <c r="O11" s="124"/>
      <c r="P11" s="124"/>
      <c r="Q11" s="121"/>
      <c r="R11" s="122"/>
      <c r="S11" s="125"/>
    </row>
    <row r="12" ht="12" customHeight="1">
      <c r="B12" s="81" t="s">
        <v>154</v>
      </c>
      <c r="C12" s="82" t="s">
        <v>155</v>
      </c>
      <c r="D12" s="95"/>
      <c r="E12" s="96"/>
      <c r="F12" s="99"/>
      <c r="G12" s="98"/>
      <c r="H12" s="126"/>
      <c r="I12" s="127"/>
      <c r="J12" s="99"/>
      <c r="K12" s="98"/>
      <c r="L12" s="98"/>
      <c r="M12" s="96"/>
      <c r="N12" s="99"/>
      <c r="O12" s="98"/>
      <c r="P12" s="98"/>
      <c r="Q12" s="96"/>
      <c r="R12" s="99"/>
      <c r="S12" s="100"/>
    </row>
    <row r="13" ht="12" customHeight="1">
      <c r="B13" s="94"/>
      <c r="C13" s="101"/>
      <c r="D13" s="102"/>
      <c r="E13" s="103"/>
      <c r="F13" s="107"/>
      <c r="G13" s="106"/>
      <c r="H13" s="106"/>
      <c r="I13" s="103"/>
      <c r="J13" s="104"/>
      <c r="K13" s="106"/>
      <c r="L13" s="106"/>
      <c r="M13" s="103"/>
      <c r="N13" s="107"/>
      <c r="O13" s="106"/>
      <c r="P13" s="106"/>
      <c r="Q13" s="103"/>
      <c r="R13" s="107"/>
      <c r="S13" s="108"/>
    </row>
    <row r="14" ht="12" customHeight="1">
      <c r="B14" s="94"/>
      <c r="C14" s="109" t="s">
        <v>156</v>
      </c>
      <c r="D14" s="128"/>
      <c r="E14" s="111"/>
      <c r="F14" s="115"/>
      <c r="G14" s="114"/>
      <c r="H14" s="113"/>
      <c r="I14" s="111"/>
      <c r="J14" s="115"/>
      <c r="K14" s="114"/>
      <c r="L14" s="114"/>
      <c r="M14" s="111"/>
      <c r="N14" s="115"/>
      <c r="O14" s="114"/>
      <c r="P14" s="114"/>
      <c r="Q14" s="111"/>
      <c r="R14" s="115"/>
      <c r="S14" s="116"/>
    </row>
    <row r="15" ht="12" customHeight="1">
      <c r="B15" s="94"/>
      <c r="C15" s="101"/>
      <c r="D15" s="102"/>
      <c r="E15" s="103"/>
      <c r="F15" s="107"/>
      <c r="G15" s="106"/>
      <c r="H15" s="106"/>
      <c r="I15" s="129"/>
      <c r="J15" s="104"/>
      <c r="K15" s="106"/>
      <c r="L15" s="106"/>
      <c r="M15" s="103"/>
      <c r="N15" s="107"/>
      <c r="O15" s="106"/>
      <c r="P15" s="106"/>
      <c r="Q15" s="103"/>
      <c r="R15" s="107"/>
      <c r="S15" s="108"/>
    </row>
    <row r="16" ht="12" customHeight="1">
      <c r="B16" s="94"/>
      <c r="C16" s="109" t="s">
        <v>157</v>
      </c>
      <c r="D16" s="110"/>
      <c r="E16" s="111"/>
      <c r="F16" s="115"/>
      <c r="G16" s="114"/>
      <c r="H16" s="113"/>
      <c r="I16" s="130"/>
      <c r="J16" s="115"/>
      <c r="K16" s="114"/>
      <c r="L16" s="114"/>
      <c r="M16" s="111"/>
      <c r="N16" s="115"/>
      <c r="O16" s="114"/>
      <c r="P16" s="114"/>
      <c r="Q16" s="111"/>
      <c r="R16" s="115"/>
      <c r="S16" s="116"/>
    </row>
    <row r="17" ht="12" customHeight="1">
      <c r="B17" s="118"/>
      <c r="C17" s="119"/>
      <c r="D17" s="120"/>
      <c r="E17" s="121"/>
      <c r="F17" s="122"/>
      <c r="G17" s="124"/>
      <c r="H17" s="124"/>
      <c r="I17" s="121"/>
      <c r="J17" s="131"/>
      <c r="K17" s="123"/>
      <c r="L17" s="124"/>
      <c r="M17" s="121"/>
      <c r="N17" s="122"/>
      <c r="O17" s="124"/>
      <c r="P17" s="124"/>
      <c r="Q17" s="121"/>
      <c r="R17" s="122"/>
      <c r="S17" s="125"/>
    </row>
    <row r="18" ht="12" customHeight="1">
      <c r="B18" s="83" t="s">
        <v>158</v>
      </c>
      <c r="C18" s="82" t="s">
        <v>159</v>
      </c>
      <c r="D18" s="95"/>
      <c r="E18" s="96"/>
      <c r="F18" s="99"/>
      <c r="G18" s="98"/>
      <c r="H18" s="98"/>
      <c r="I18" s="127"/>
      <c r="J18" s="99"/>
      <c r="K18" s="98"/>
      <c r="L18" s="98"/>
      <c r="M18" s="96"/>
      <c r="N18" s="99"/>
      <c r="O18" s="98"/>
      <c r="P18" s="98"/>
      <c r="Q18" s="96"/>
      <c r="R18" s="99"/>
      <c r="S18" s="100"/>
    </row>
    <row r="19" ht="12" customHeight="1">
      <c r="B19" s="94"/>
      <c r="C19" s="101"/>
      <c r="D19" s="102"/>
      <c r="E19" s="103"/>
      <c r="F19" s="107"/>
      <c r="G19" s="105"/>
      <c r="H19" s="106"/>
      <c r="I19" s="103"/>
      <c r="J19" s="107"/>
      <c r="K19" s="106"/>
      <c r="L19" s="106"/>
      <c r="M19" s="103"/>
      <c r="N19" s="107"/>
      <c r="O19" s="106"/>
      <c r="P19" s="106"/>
      <c r="Q19" s="103"/>
      <c r="R19" s="107"/>
      <c r="S19" s="108"/>
    </row>
    <row r="20" ht="12" customHeight="1">
      <c r="B20" s="94"/>
      <c r="C20" s="109" t="s">
        <v>160</v>
      </c>
      <c r="D20" s="110"/>
      <c r="E20" s="111"/>
      <c r="F20" s="115"/>
      <c r="G20" s="114"/>
      <c r="H20" s="114"/>
      <c r="I20" s="130"/>
      <c r="J20" s="112"/>
      <c r="K20" s="113"/>
      <c r="L20" s="113"/>
      <c r="M20" s="111"/>
      <c r="N20" s="115"/>
      <c r="O20" s="114"/>
      <c r="P20" s="114"/>
      <c r="Q20" s="111"/>
      <c r="R20" s="115"/>
      <c r="S20" s="116"/>
    </row>
    <row r="21" ht="12" customHeight="1">
      <c r="B21" s="94"/>
      <c r="C21" s="101"/>
      <c r="D21" s="102"/>
      <c r="E21" s="103"/>
      <c r="F21" s="107"/>
      <c r="G21" s="106"/>
      <c r="H21" s="106"/>
      <c r="I21" s="103"/>
      <c r="J21" s="107"/>
      <c r="K21" s="106"/>
      <c r="L21" s="106"/>
      <c r="M21" s="103"/>
      <c r="N21" s="132"/>
      <c r="O21" s="106"/>
      <c r="P21" s="106"/>
      <c r="Q21" s="103"/>
      <c r="R21" s="107"/>
      <c r="S21" s="108"/>
    </row>
    <row r="22" ht="12" customHeight="1">
      <c r="B22" s="94"/>
      <c r="C22" s="109" t="s">
        <v>161</v>
      </c>
      <c r="D22" s="110"/>
      <c r="E22" s="111"/>
      <c r="F22" s="115"/>
      <c r="G22" s="114"/>
      <c r="H22" s="114"/>
      <c r="I22" s="111"/>
      <c r="J22" s="115"/>
      <c r="K22" s="113"/>
      <c r="L22" s="113"/>
      <c r="M22" s="111"/>
      <c r="N22" s="115"/>
      <c r="O22" s="114"/>
      <c r="P22" s="114"/>
      <c r="Q22" s="111"/>
      <c r="R22" s="115"/>
      <c r="S22" s="116"/>
    </row>
    <row r="23" ht="12" customHeight="1">
      <c r="B23" s="118"/>
      <c r="C23" s="119"/>
      <c r="D23" s="120"/>
      <c r="E23" s="121"/>
      <c r="F23" s="122"/>
      <c r="G23" s="124"/>
      <c r="H23" s="124"/>
      <c r="I23" s="121"/>
      <c r="J23" s="122"/>
      <c r="K23" s="124"/>
      <c r="L23" s="124"/>
      <c r="M23" s="121"/>
      <c r="N23" s="122"/>
      <c r="O23" s="124"/>
      <c r="P23" s="124"/>
      <c r="Q23" s="121"/>
      <c r="R23" s="122"/>
      <c r="S23" s="125"/>
    </row>
    <row r="24" ht="12" customHeight="1">
      <c r="B24" s="83" t="s">
        <v>162</v>
      </c>
      <c r="C24" s="82" t="s">
        <v>163</v>
      </c>
      <c r="D24" s="95"/>
      <c r="E24" s="96"/>
      <c r="F24" s="99"/>
      <c r="G24" s="98"/>
      <c r="H24" s="98"/>
      <c r="I24" s="96"/>
      <c r="J24" s="99"/>
      <c r="K24" s="98"/>
      <c r="L24" s="98"/>
      <c r="M24" s="127"/>
      <c r="N24" s="97"/>
      <c r="O24" s="126"/>
      <c r="P24" s="126"/>
      <c r="Q24" s="96"/>
      <c r="R24" s="99"/>
      <c r="S24" s="100"/>
    </row>
    <row r="25" ht="12" customHeight="1">
      <c r="B25" s="94"/>
      <c r="C25" s="101"/>
      <c r="D25" s="102"/>
      <c r="E25" s="103"/>
      <c r="F25" s="107"/>
      <c r="G25" s="106"/>
      <c r="H25" s="106"/>
      <c r="I25" s="103"/>
      <c r="J25" s="107"/>
      <c r="K25" s="106"/>
      <c r="L25" s="106"/>
      <c r="M25" s="103"/>
      <c r="N25" s="107"/>
      <c r="O25" s="106"/>
      <c r="P25" s="106"/>
      <c r="Q25" s="103"/>
      <c r="R25" s="107"/>
      <c r="S25" s="108"/>
    </row>
    <row r="26" ht="12" customHeight="1">
      <c r="B26" s="94"/>
      <c r="C26" s="109" t="s">
        <v>164</v>
      </c>
      <c r="D26" s="110"/>
      <c r="E26" s="111"/>
      <c r="F26" s="115"/>
      <c r="G26" s="114"/>
      <c r="H26" s="114"/>
      <c r="I26" s="111"/>
      <c r="J26" s="115"/>
      <c r="K26" s="114"/>
      <c r="L26" s="114"/>
      <c r="M26" s="111"/>
      <c r="N26" s="115"/>
      <c r="O26" s="113"/>
      <c r="P26" s="113"/>
      <c r="Q26" s="111"/>
      <c r="R26" s="115"/>
      <c r="S26" s="116"/>
    </row>
    <row r="27" ht="12" customHeight="1">
      <c r="B27" s="94"/>
      <c r="C27" s="101"/>
      <c r="D27" s="102"/>
      <c r="E27" s="103"/>
      <c r="F27" s="107"/>
      <c r="G27" s="106"/>
      <c r="H27" s="106"/>
      <c r="I27" s="103"/>
      <c r="J27" s="107"/>
      <c r="K27" s="106"/>
      <c r="L27" s="106"/>
      <c r="M27" s="103"/>
      <c r="N27" s="107"/>
      <c r="O27" s="106"/>
      <c r="P27" s="106"/>
      <c r="Q27" s="103"/>
      <c r="R27" s="107"/>
      <c r="S27" s="108"/>
    </row>
    <row r="28" ht="12" customHeight="1">
      <c r="B28" s="94"/>
      <c r="C28" s="109" t="s">
        <v>165</v>
      </c>
      <c r="D28" s="110"/>
      <c r="E28" s="111"/>
      <c r="F28" s="115"/>
      <c r="G28" s="114"/>
      <c r="H28" s="114"/>
      <c r="I28" s="111"/>
      <c r="J28" s="115"/>
      <c r="K28" s="114"/>
      <c r="L28" s="114"/>
      <c r="M28" s="111"/>
      <c r="N28" s="115"/>
      <c r="O28" s="114"/>
      <c r="P28" s="113"/>
      <c r="Q28" s="130"/>
      <c r="R28" s="115"/>
      <c r="S28" s="116"/>
    </row>
    <row r="29" ht="12" customHeight="1">
      <c r="B29" s="94"/>
      <c r="C29" s="88"/>
      <c r="D29" s="133"/>
      <c r="E29" s="134"/>
      <c r="F29" s="135"/>
      <c r="G29" s="136"/>
      <c r="H29" s="137"/>
      <c r="I29" s="134"/>
      <c r="J29" s="135"/>
      <c r="K29" s="136"/>
      <c r="L29" s="137"/>
      <c r="M29" s="134"/>
      <c r="N29" s="138"/>
      <c r="O29" s="137"/>
      <c r="P29" s="136"/>
      <c r="Q29" s="134"/>
      <c r="R29" s="135"/>
      <c r="S29" s="139"/>
    </row>
    <row r="30" ht="12" customHeight="1">
      <c r="B30" s="140" t="s">
        <v>12</v>
      </c>
      <c r="C30" s="141" t="s">
        <v>109</v>
      </c>
      <c r="D30" s="95"/>
      <c r="E30" s="142"/>
      <c r="F30" s="143"/>
      <c r="G30" s="143"/>
      <c r="H30" s="144"/>
      <c r="I30" s="145"/>
      <c r="J30" s="143"/>
      <c r="K30" s="143"/>
      <c r="L30" s="144"/>
      <c r="M30" s="145"/>
      <c r="N30" s="143"/>
      <c r="O30" s="144"/>
      <c r="P30" s="143"/>
      <c r="Q30" s="145"/>
      <c r="R30" s="143"/>
      <c r="S30" s="146"/>
    </row>
    <row r="31" ht="12" customHeight="1">
      <c r="B31" s="147"/>
      <c r="C31" s="148"/>
      <c r="D31" s="102"/>
      <c r="E31" s="149"/>
      <c r="F31" s="150"/>
      <c r="G31" s="150"/>
      <c r="H31" s="151"/>
      <c r="I31" s="152"/>
      <c r="J31" s="150"/>
      <c r="K31" s="153"/>
      <c r="L31" s="151"/>
      <c r="M31" s="152"/>
      <c r="N31" s="150"/>
      <c r="O31" s="151"/>
      <c r="P31" s="150"/>
      <c r="Q31" s="152"/>
      <c r="R31" s="150"/>
      <c r="S31" s="108"/>
    </row>
    <row r="32" ht="12" customHeight="1">
      <c r="B32" s="147"/>
      <c r="C32" s="148" t="s">
        <v>12</v>
      </c>
      <c r="D32" s="110"/>
      <c r="E32" s="154"/>
      <c r="F32" s="155"/>
      <c r="G32" s="155"/>
      <c r="H32" s="156"/>
      <c r="I32" s="157"/>
      <c r="J32" s="155"/>
      <c r="K32" s="155"/>
      <c r="L32" s="156"/>
      <c r="M32" s="157"/>
      <c r="N32" s="155"/>
      <c r="O32" s="156"/>
      <c r="P32" s="155"/>
      <c r="Q32" s="157"/>
      <c r="R32" s="155"/>
      <c r="S32" s="158"/>
    </row>
    <row r="33" ht="12" customHeight="1">
      <c r="B33" s="147"/>
      <c r="C33" s="148"/>
      <c r="D33" s="102"/>
      <c r="E33" s="149"/>
      <c r="F33" s="153"/>
      <c r="G33" s="150"/>
      <c r="H33" s="159"/>
      <c r="I33" s="160"/>
      <c r="J33" s="150"/>
      <c r="K33" s="153"/>
      <c r="L33" s="151"/>
      <c r="M33" s="152"/>
      <c r="N33" s="150"/>
      <c r="O33" s="151"/>
      <c r="P33" s="150"/>
      <c r="Q33" s="152"/>
      <c r="R33" s="150"/>
      <c r="S33" s="108"/>
    </row>
    <row r="34" ht="12" customHeight="1">
      <c r="B34" s="147"/>
      <c r="C34" s="101" t="s">
        <v>166</v>
      </c>
      <c r="D34" s="133"/>
      <c r="E34" s="161"/>
      <c r="F34" s="162"/>
      <c r="G34" s="162"/>
      <c r="H34" s="163"/>
      <c r="I34" s="164"/>
      <c r="J34" s="162"/>
      <c r="K34" s="162"/>
      <c r="L34" s="163"/>
      <c r="M34" s="164"/>
      <c r="N34" s="162"/>
      <c r="O34" s="163"/>
      <c r="P34" s="162"/>
      <c r="Q34" s="164"/>
      <c r="R34" s="162"/>
      <c r="S34" s="165"/>
      <c r="U34" s="166"/>
      <c r="V34" s="167" t="s">
        <v>167</v>
      </c>
    </row>
    <row r="35" ht="13.800000000000001" customHeight="1">
      <c r="B35" s="168"/>
      <c r="C35" s="169"/>
      <c r="D35" s="120"/>
      <c r="E35" s="170"/>
      <c r="F35" s="171"/>
      <c r="G35" s="171"/>
      <c r="H35" s="172"/>
      <c r="I35" s="173"/>
      <c r="J35" s="171"/>
      <c r="K35" s="171"/>
      <c r="L35" s="172"/>
      <c r="M35" s="173"/>
      <c r="N35" s="171"/>
      <c r="O35" s="172"/>
      <c r="P35" s="171"/>
      <c r="Q35" s="173"/>
      <c r="R35" s="171"/>
      <c r="S35" s="125"/>
      <c r="U35" s="174"/>
      <c r="V35" s="175" t="s">
        <v>168</v>
      </c>
    </row>
  </sheetData>
  <mergeCells count="28">
    <mergeCell ref="B24:B29"/>
    <mergeCell ref="C24:C25"/>
    <mergeCell ref="C26:C27"/>
    <mergeCell ref="C28:C29"/>
    <mergeCell ref="B30:B35"/>
    <mergeCell ref="C30:C31"/>
    <mergeCell ref="C32:C33"/>
    <mergeCell ref="C34:C35"/>
    <mergeCell ref="B12:B17"/>
    <mergeCell ref="C12:C13"/>
    <mergeCell ref="C14:C15"/>
    <mergeCell ref="C16:C17"/>
    <mergeCell ref="B18:B23"/>
    <mergeCell ref="C18:C19"/>
    <mergeCell ref="C20:C21"/>
    <mergeCell ref="C22:C23"/>
    <mergeCell ref="R2:S2"/>
    <mergeCell ref="B4:B11"/>
    <mergeCell ref="C4:C5"/>
    <mergeCell ref="C6:C7"/>
    <mergeCell ref="U6:V6"/>
    <mergeCell ref="C8:C9"/>
    <mergeCell ref="C10:C11"/>
    <mergeCell ref="B2:B3"/>
    <mergeCell ref="C2:C3"/>
    <mergeCell ref="F2:I2"/>
    <mergeCell ref="J2:M2"/>
    <mergeCell ref="N2:Q2"/>
  </mergeCells>
  <printOptions headings="0" gridLines="0"/>
  <pageMargins left="0.25" right="0.25"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AA274E-3F80-45FA-9EA1-C00B98F2A0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dc:creator>
  <cp:revision>29</cp:revision>
  <dcterms:created xsi:type="dcterms:W3CDTF">2025-03-25T12:56:59Z</dcterms:created>
  <dcterms:modified xsi:type="dcterms:W3CDTF">2026-04-06T00:35:53Z</dcterms:modified>
</cp:coreProperties>
</file>