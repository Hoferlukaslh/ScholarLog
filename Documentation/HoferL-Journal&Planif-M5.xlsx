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colors3.xml" ContentType="application/vnd.ms-office.chartcolorsty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Journal" sheetId="1" state="visible" r:id="rId1"/>
    <sheet name="Graphique" sheetId="2" state="hidden" r:id="rId2"/>
    <sheet name="PlanificationExemple" sheetId="3" state="hidden" r:id="rId3"/>
    <sheet name="SommeParJours" sheetId="4" state="hidden" r:id="rId4"/>
  </sheets>
  <definedNames>
    <definedName name="_xlnm.Print_Area" localSheetId="0">Journal!$B$2:$H$30</definedName>
  </definedName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<sst xmlns="http://schemas.openxmlformats.org/spreadsheetml/2006/main" count="54" uniqueCount="54">
  <si>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date</t>
  </si>
  <si>
    <t>Temps</t>
  </si>
  <si>
    <t xml:space="preserve">type de travail</t>
  </si>
  <si>
    <t>description</t>
  </si>
  <si>
    <t>somme</t>
  </si>
  <si>
    <t>20.01.2026</t>
  </si>
  <si>
    <t>Cours</t>
  </si>
  <si>
    <t xml:space="preserve">Introduction au module 5. Prise de notes.</t>
  </si>
  <si>
    <t>Recherche</t>
  </si>
  <si>
    <t xml:space="preserve">Recherche d'idée de projet.</t>
  </si>
  <si>
    <t>27.01.2026</t>
  </si>
  <si>
    <t>Documentation</t>
  </si>
  <si>
    <t xml:space="preserve">Création du cahier des charge, validation avec responsable du module. Création de la documentation technique.</t>
  </si>
  <si>
    <t xml:space="preserve">Recherche et configuration de solution Git.</t>
  </si>
  <si>
    <t>Programmation</t>
  </si>
  <si>
    <t>Tests</t>
  </si>
  <si>
    <t>Présentation</t>
  </si>
  <si>
    <t>Somme</t>
  </si>
  <si>
    <t>Phases</t>
  </si>
  <si>
    <t>Tâche</t>
  </si>
  <si>
    <t>Mois</t>
  </si>
  <si>
    <t>Octobre</t>
  </si>
  <si>
    <t>Novembre</t>
  </si>
  <si>
    <t>Décembre</t>
  </si>
  <si>
    <t>Janvier</t>
  </si>
  <si>
    <t>Février</t>
  </si>
  <si>
    <t>S</t>
  </si>
  <si>
    <t xml:space="preserve">10 semaines à 5 périodes  </t>
  </si>
  <si>
    <t xml:space="preserve">Étude des besoins</t>
  </si>
  <si>
    <t xml:space="preserve">Organigramme </t>
  </si>
  <si>
    <t xml:space="preserve">De octobre 2025 à janvier 2026</t>
  </si>
  <si>
    <t xml:space="preserve">Service réseau</t>
  </si>
  <si>
    <t xml:space="preserve">Remise :  11.02.2026</t>
  </si>
  <si>
    <t xml:space="preserve">Présentation : ?</t>
  </si>
  <si>
    <t xml:space="preserve">Nombre de nœuds</t>
  </si>
  <si>
    <t xml:space="preserve">Remédiation : ?</t>
  </si>
  <si>
    <t>Sécurité</t>
  </si>
  <si>
    <t xml:space="preserve">Conception
 Logique</t>
  </si>
  <si>
    <t xml:space="preserve">Topologie logique</t>
  </si>
  <si>
    <t xml:space="preserve">Plan d'adressage IPv4 et IPv6</t>
  </si>
  <si>
    <t xml:space="preserve">Planification du projet</t>
  </si>
  <si>
    <t xml:space="preserve">Analyse impl.</t>
  </si>
  <si>
    <t xml:space="preserve">Plan physique</t>
  </si>
  <si>
    <t xml:space="preserve">Liste de matériels</t>
  </si>
  <si>
    <t xml:space="preserve">Mise en place de la sécurité</t>
  </si>
  <si>
    <t>Simulation</t>
  </si>
  <si>
    <t xml:space="preserve">Création du réseau sur packet tracer</t>
  </si>
  <si>
    <t xml:space="preserve">Test du réseau</t>
  </si>
  <si>
    <t xml:space="preserve">Debug du réseau + checklist</t>
  </si>
  <si>
    <t xml:space="preserve">Journal de travail</t>
  </si>
  <si>
    <t xml:space="preserve">Préparation a la présentation</t>
  </si>
  <si>
    <t>Planifiée</t>
  </si>
  <si>
    <t>Effective</t>
  </si>
  <si>
    <t>somme_no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</si>
</sst>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h:mm;@"/>
    <numFmt numFmtId="165" formatCode="dd\.mm\.yyyy;@"/>
    <numFmt numFmtId="166" formatCode="hh:mm;@"/>
    <numFmt numFmtId="167" formatCode="0.0&quot; H&quot;;@"/>
    <numFmt numFmtId="168" formatCode="d/m/yy;@"/>
    <numFmt numFmtId="169" formatCode="yyyy\-mm\-dd;@"/>
  </numFmts>
  <fonts count="2">
    <font>
      <sz val="11.000000"/>
      <color theme="1"/>
      <name val="Calibri"/>
      <scheme val="minor"/>
    </font>
    <font>
      <sz val="11.000000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4" tint="0"/>
        <bgColor theme="4" tint="0"/>
      </patternFill>
    </fill>
  </fills>
  <borders count="6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Dashed">
        <color auto="1"/>
      </right>
      <top style="medium">
        <color auto="1"/>
      </top>
      <bottom style="mediumDashed">
        <color auto="1"/>
      </bottom>
      <diagonal style="none"/>
    </border>
    <border>
      <left style="none"/>
      <right style="none"/>
      <top style="medium">
        <color auto="1"/>
      </top>
      <bottom style="mediumDashed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Dashed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Dashed">
        <color auto="1"/>
      </right>
      <top style="none"/>
      <bottom style="none"/>
      <diagonal style="none"/>
    </border>
    <border>
      <left style="mediumDashed">
        <color auto="1"/>
      </left>
      <right style="dashDot">
        <color auto="1"/>
      </right>
      <top style="none"/>
      <bottom style="none"/>
      <diagonal style="none"/>
    </border>
    <border>
      <left style="dashDot">
        <color auto="1"/>
      </left>
      <right style="dashDot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mediumDashed">
        <color auto="1"/>
      </right>
      <top style="medium">
        <color auto="1"/>
      </top>
      <bottom style="none"/>
      <diagonal style="none"/>
    </border>
    <border>
      <left style="mediumDashed">
        <color auto="1"/>
      </left>
      <right style="dashDot">
        <color auto="1"/>
      </right>
      <top style="medium">
        <color auto="1"/>
      </top>
      <bottom style="none"/>
      <diagonal style="none"/>
    </border>
    <border>
      <left style="dashDot">
        <color auto="1"/>
      </left>
      <right style="dashDot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Dashed">
        <color auto="1"/>
      </right>
      <top style="none"/>
      <bottom style="thin">
        <color auto="1"/>
      </bottom>
      <diagonal style="none"/>
    </border>
    <border>
      <left style="mediumDashed">
        <color auto="1"/>
      </left>
      <right style="dashDot">
        <color auto="1"/>
      </right>
      <top style="none"/>
      <bottom style="thin">
        <color auto="1"/>
      </bottom>
      <diagonal style="none"/>
    </border>
    <border>
      <left style="dashDot">
        <color auto="1"/>
      </left>
      <right style="dashDot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Dashed">
        <color auto="1"/>
      </right>
      <top style="thin">
        <color auto="1"/>
      </top>
      <bottom style="none"/>
      <diagonal style="none"/>
    </border>
    <border>
      <left style="mediumDashed">
        <color auto="1"/>
      </left>
      <right style="dashDot">
        <color auto="1"/>
      </right>
      <top style="thin">
        <color auto="1"/>
      </top>
      <bottom style="none"/>
      <diagonal style="none"/>
    </border>
    <border>
      <left style="dashDot">
        <color auto="1"/>
      </left>
      <right style="dashDot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Dashed">
        <color auto="1"/>
      </right>
      <top style="none"/>
      <bottom style="medium">
        <color auto="1"/>
      </bottom>
      <diagonal style="none"/>
    </border>
    <border>
      <left style="mediumDashed">
        <color auto="1"/>
      </left>
      <right style="dashDot">
        <color auto="1"/>
      </right>
      <top style="none"/>
      <bottom style="medium">
        <color auto="1"/>
      </bottom>
      <diagonal style="none"/>
    </border>
    <border>
      <left style="dashDot">
        <color auto="1"/>
      </left>
      <right style="dashDot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dashDot">
        <color auto="1"/>
      </left>
      <right style="dashDotDot">
        <color auto="1"/>
      </right>
      <top style="none"/>
      <bottom style="none"/>
      <diagonal style="none"/>
    </border>
    <border>
      <left style="none"/>
      <right style="dashDot">
        <color auto="1"/>
      </right>
      <top style="none"/>
      <bottom style="none"/>
      <diagonal style="none"/>
    </border>
    <border>
      <left style="mediumDashed">
        <color auto="1"/>
      </left>
      <right style="dashDotDot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Dashed">
        <color auto="1"/>
      </right>
      <top style="medium">
        <color auto="1"/>
      </top>
      <bottom style="none"/>
      <diagonal style="none"/>
    </border>
    <border>
      <left style="none"/>
      <right style="dashDotDot">
        <color auto="1"/>
      </right>
      <top style="medium">
        <color auto="1"/>
      </top>
      <bottom style="none"/>
      <diagonal style="none"/>
    </border>
    <border>
      <left style="dashDotDot">
        <color auto="1"/>
      </left>
      <right style="dashDotDot">
        <color auto="1"/>
      </right>
      <top style="medium">
        <color auto="1"/>
      </top>
      <bottom style="none"/>
      <diagonal style="none"/>
    </border>
    <border>
      <left style="dashDotDot">
        <color auto="1"/>
      </left>
      <right style="mediumDashed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Dashed">
        <color auto="1"/>
      </right>
      <top style="none"/>
      <bottom style="thin">
        <color auto="1"/>
      </bottom>
      <diagonal style="none"/>
    </border>
    <border>
      <left style="none"/>
      <right style="dashDotDot">
        <color auto="1"/>
      </right>
      <top style="none"/>
      <bottom style="thin">
        <color auto="1"/>
      </bottom>
      <diagonal style="none"/>
    </border>
    <border>
      <left style="dashDotDot">
        <color auto="1"/>
      </left>
      <right style="dashDotDot">
        <color auto="1"/>
      </right>
      <top style="none"/>
      <bottom style="thin">
        <color auto="1"/>
      </bottom>
      <diagonal style="none"/>
    </border>
    <border>
      <left style="dashDotDot">
        <color auto="1"/>
      </left>
      <right style="mediumDashed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Dashed">
        <color auto="1"/>
      </right>
      <top style="thin">
        <color auto="1"/>
      </top>
      <bottom style="none"/>
      <diagonal style="none"/>
    </border>
    <border>
      <left style="none"/>
      <right style="dashDotDot">
        <color auto="1"/>
      </right>
      <top style="thin">
        <color auto="1"/>
      </top>
      <bottom style="none"/>
      <diagonal style="none"/>
    </border>
    <border>
      <left style="dashDotDot">
        <color auto="1"/>
      </left>
      <right style="dashDotDot">
        <color auto="1"/>
      </right>
      <top style="thin">
        <color auto="1"/>
      </top>
      <bottom style="none"/>
      <diagonal style="none"/>
    </border>
    <border>
      <left style="dashDotDot">
        <color auto="1"/>
      </left>
      <right style="mediumDashed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Dashed">
        <color auto="1"/>
      </right>
      <top style="none"/>
      <bottom style="none"/>
      <diagonal style="none"/>
    </border>
    <border>
      <left style="none"/>
      <right style="dashDotDot">
        <color auto="1"/>
      </right>
      <top style="none"/>
      <bottom style="none"/>
      <diagonal style="none"/>
    </border>
    <border>
      <left style="dashDotDot">
        <color auto="1"/>
      </left>
      <right style="dashDotDot">
        <color auto="1"/>
      </right>
      <top style="none"/>
      <bottom style="none"/>
      <diagonal style="none"/>
    </border>
    <border>
      <left style="dashDotDot">
        <color auto="1"/>
      </left>
      <right style="mediumDashed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Dashed">
        <color auto="1"/>
      </right>
      <top style="none"/>
      <bottom style="medium">
        <color auto="1"/>
      </bottom>
      <diagonal style="none"/>
    </border>
    <border>
      <left style="none"/>
      <right style="dashDotDot">
        <color auto="1"/>
      </right>
      <top style="none"/>
      <bottom style="medium">
        <color auto="1"/>
      </bottom>
      <diagonal style="none"/>
    </border>
    <border>
      <left style="dashDotDot">
        <color auto="1"/>
      </left>
      <right style="dashDotDot">
        <color auto="1"/>
      </right>
      <top style="none"/>
      <bottom style="medium">
        <color auto="1"/>
      </bottom>
      <diagonal style="none"/>
    </border>
    <border>
      <left style="dashDotDot">
        <color auto="1"/>
      </left>
      <right style="mediumDashed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0"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 vertical="center"/>
    </xf>
    <xf fontId="0" fillId="0" borderId="0" numFmtId="165" xfId="0" applyNumberFormat="1" applyAlignment="1">
      <alignment horizontal="left" vertical="center"/>
    </xf>
    <xf fontId="0" fillId="0" borderId="0" numFmtId="166" xfId="0" applyNumberFormat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167" xfId="0" applyNumberFormat="1" applyAlignment="1">
      <alignment horizontal="center" vertical="center"/>
    </xf>
    <xf fontId="0" fillId="0" borderId="0" numFmtId="2" xfId="0" applyNumberFormat="1"/>
    <xf fontId="0" fillId="0" borderId="0" numFmtId="0" xfId="0" applyAlignment="1">
      <alignment vertical="center"/>
    </xf>
    <xf fontId="0" fillId="0" borderId="0" numFmtId="0" xfId="0" applyAlignment="1">
      <alignment horizontal="left" vertical="center"/>
    </xf>
    <xf fontId="0" fillId="0" borderId="0" numFmtId="165" xfId="0" applyNumberFormat="1" applyAlignment="1">
      <alignment horizontal="left"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/>
    </xf>
    <xf fontId="0" fillId="0" borderId="1" numFmtId="0" xfId="0" applyBorder="1" applyAlignment="1">
      <alignment horizontal="left" vertical="center"/>
    </xf>
    <xf fontId="0" fillId="0" borderId="1" numFmtId="167" xfId="0" applyNumberFormat="1" applyBorder="1" applyAlignment="1">
      <alignment horizontal="center" vertical="center"/>
    </xf>
    <xf fontId="0" fillId="0" borderId="0" numFmtId="14" xfId="0" applyNumberFormat="1" applyAlignment="1">
      <alignment horizontal="left" vertical="center"/>
    </xf>
    <xf fontId="0" fillId="0" borderId="0" numFmtId="15" xfId="0" applyNumberFormat="1"/>
    <xf fontId="0" fillId="2" borderId="2" numFmtId="0" xfId="0" applyFill="1" applyBorder="1" applyAlignment="1">
      <alignment horizontal="center" textRotation="180" vertical="center" wrapText="1"/>
    </xf>
    <xf fontId="0" fillId="2" borderId="3" numFmtId="0" xfId="0" applyFill="1" applyBorder="1" applyAlignment="1">
      <alignment horizontal="left" vertical="center"/>
    </xf>
    <xf fontId="0" fillId="2" borderId="2" numFmtId="0" xfId="0" applyFill="1" applyBorder="1" applyAlignment="1">
      <alignment horizontal="center" textRotation="180" vertical="center"/>
    </xf>
    <xf fontId="0" fillId="2" borderId="4" numFmtId="0" xfId="0" applyFill="1" applyBorder="1" applyAlignment="1">
      <alignment horizontal="center" textRotation="180" vertical="center"/>
    </xf>
    <xf fontId="0" fillId="2" borderId="5" numFmtId="0" xfId="0" applyFill="1" applyBorder="1" applyAlignment="1">
      <alignment horizontal="center" textRotation="180" vertical="center"/>
    </xf>
    <xf fontId="0" fillId="2" borderId="6" numFmtId="0" xfId="0" applyFill="1" applyBorder="1" applyAlignment="1">
      <alignment horizontal="center" textRotation="180" vertical="center"/>
    </xf>
    <xf fontId="0" fillId="0" borderId="0" numFmtId="14" xfId="0" applyNumberFormat="1"/>
    <xf fontId="0" fillId="2" borderId="7" numFmtId="0" xfId="0" applyFill="1" applyBorder="1" applyAlignment="1">
      <alignment horizontal="center" textRotation="180" vertical="center" wrapText="1"/>
    </xf>
    <xf fontId="0" fillId="2" borderId="0" numFmtId="0" xfId="0" applyFill="1" applyAlignment="1">
      <alignment horizontal="left" vertical="center"/>
    </xf>
    <xf fontId="0" fillId="2" borderId="8" numFmtId="0" xfId="0" applyFill="1" applyBorder="1" applyAlignment="1">
      <alignment horizontal="center"/>
    </xf>
    <xf fontId="0" fillId="2" borderId="9" numFmtId="0" xfId="0" applyFill="1" applyBorder="1" applyAlignment="1">
      <alignment horizontal="center" vertical="center"/>
    </xf>
    <xf fontId="0" fillId="2" borderId="10" numFmtId="0" xfId="0" applyFill="1" applyBorder="1" applyAlignment="1">
      <alignment horizontal="center" vertical="center"/>
    </xf>
    <xf fontId="0" fillId="2" borderId="11" numFmtId="0" xfId="0" applyFill="1" applyBorder="1" applyAlignment="1">
      <alignment horizontal="center" vertical="center"/>
    </xf>
    <xf fontId="0" fillId="2" borderId="12" numFmtId="0" xfId="0" applyFill="1" applyBorder="1" applyAlignment="1">
      <alignment horizontal="center" vertical="center"/>
    </xf>
    <xf fontId="0" fillId="2" borderId="8" numFmtId="0" xfId="0" applyFill="1" applyBorder="1" applyAlignment="1">
      <alignment horizontal="center" textRotation="180" vertical="center"/>
    </xf>
    <xf fontId="0" fillId="2" borderId="2" numFmtId="0" xfId="0" applyFill="1" applyBorder="1"/>
    <xf fontId="0" fillId="0" borderId="13" numFmtId="0" xfId="0" applyBorder="1"/>
    <xf fontId="0" fillId="3" borderId="14" numFmtId="0" xfId="0" applyFill="1" applyBorder="1"/>
    <xf fontId="0" fillId="0" borderId="15" numFmtId="0" xfId="0" applyBorder="1"/>
    <xf fontId="0" fillId="0" borderId="14" numFmtId="0" xfId="0" applyBorder="1"/>
    <xf fontId="0" fillId="0" borderId="16" numFmtId="0" xfId="0" applyBorder="1"/>
    <xf fontId="0" fillId="2" borderId="17" numFmtId="0" xfId="0" applyFill="1" applyBorder="1" applyAlignment="1">
      <alignment horizontal="left" vertical="center"/>
    </xf>
    <xf fontId="0" fillId="2" borderId="7" numFmtId="0" xfId="0" applyFill="1" applyBorder="1"/>
    <xf fontId="0" fillId="0" borderId="18" numFmtId="0" xfId="0" applyBorder="1"/>
    <xf fontId="0" fillId="4" borderId="19" numFmtId="0" xfId="0" applyFill="1" applyBorder="1"/>
    <xf fontId="0" fillId="4" borderId="20" numFmtId="0" xfId="0" applyFill="1" applyBorder="1"/>
    <xf fontId="0" fillId="0" borderId="20" numFmtId="0" xfId="0" applyBorder="1"/>
    <xf fontId="0" fillId="0" borderId="19" numFmtId="0" xfId="0" applyBorder="1"/>
    <xf fontId="0" fillId="0" borderId="21" numFmtId="0" xfId="0" applyBorder="1"/>
    <xf fontId="0" fillId="2" borderId="22" numFmtId="0" xfId="0" applyFill="1" applyBorder="1" applyAlignment="1">
      <alignment horizontal="left" vertical="center"/>
    </xf>
    <xf fontId="0" fillId="2" borderId="23" numFmtId="0" xfId="0" applyFill="1" applyBorder="1"/>
    <xf fontId="0" fillId="0" borderId="24" numFmtId="0" xfId="0" applyBorder="1"/>
    <xf fontId="0" fillId="3" borderId="25" numFmtId="0" xfId="0" applyFill="1" applyBorder="1"/>
    <xf fontId="0" fillId="3" borderId="26" numFmtId="0" xfId="0" applyFill="1" applyBorder="1"/>
    <xf fontId="0" fillId="0" borderId="26" numFmtId="0" xfId="0" applyBorder="1"/>
    <xf fontId="0" fillId="0" borderId="25" numFmtId="0" xfId="0" applyBorder="1"/>
    <xf fontId="0" fillId="0" borderId="27" numFmtId="0" xfId="0" applyBorder="1"/>
    <xf fontId="0" fillId="0" borderId="0" numFmtId="0" xfId="0" applyAlignment="1">
      <alignment horizontal="left"/>
    </xf>
    <xf fontId="0" fillId="2" borderId="28" numFmtId="0" xfId="0" applyFill="1" applyBorder="1" applyAlignment="1">
      <alignment horizontal="center" textRotation="180" vertical="center"/>
    </xf>
    <xf fontId="0" fillId="2" borderId="29" numFmtId="0" xfId="0" applyFill="1" applyBorder="1" applyAlignment="1">
      <alignment horizontal="left" vertical="center"/>
    </xf>
    <xf fontId="0" fillId="2" borderId="28" numFmtId="0" xfId="0" applyFill="1" applyBorder="1"/>
    <xf fontId="0" fillId="0" borderId="30" numFmtId="0" xfId="0" applyBorder="1"/>
    <xf fontId="0" fillId="0" borderId="31" numFmtId="0" xfId="0" applyBorder="1"/>
    <xf fontId="0" fillId="4" borderId="32" numFmtId="0" xfId="0" applyFill="1" applyBorder="1"/>
    <xf fontId="0" fillId="0" borderId="32" numFmtId="0" xfId="0" applyBorder="1"/>
    <xf fontId="0" fillId="0" borderId="33" numFmtId="0" xfId="0" applyBorder="1"/>
    <xf fontId="0" fillId="3" borderId="15" numFmtId="0" xfId="0" applyFill="1" applyBorder="1"/>
    <xf fontId="0" fillId="3" borderId="13" numFmtId="0" xfId="0" applyFill="1" applyBorder="1"/>
    <xf fontId="0" fillId="2" borderId="23" numFmtId="0" xfId="0" applyFill="1" applyBorder="1" applyAlignment="1">
      <alignment horizontal="left"/>
    </xf>
    <xf fontId="0" fillId="4" borderId="18" numFmtId="0" xfId="0" applyFill="1" applyBorder="1"/>
    <xf fontId="0" fillId="3" borderId="24" numFmtId="0" xfId="0" applyFill="1" applyBorder="1"/>
    <xf fontId="0" fillId="4" borderId="31" numFmtId="0" xfId="0" applyFill="1" applyBorder="1"/>
    <xf fontId="0" fillId="5" borderId="19" numFmtId="0" xfId="0" applyFill="1" applyBorder="1"/>
    <xf fontId="0" fillId="2" borderId="8" numFmtId="0" xfId="0" applyFill="1" applyBorder="1"/>
    <xf fontId="0" fillId="0" borderId="9" numFmtId="0" xfId="0" applyBorder="1"/>
    <xf fontId="0" fillId="0" borderId="10" numFmtId="0" xfId="0" applyBorder="1"/>
    <xf fontId="0" fillId="0" borderId="34" numFmtId="0" xfId="0" applyBorder="1"/>
    <xf fontId="0" fillId="0" borderId="35" numFmtId="0" xfId="0" applyBorder="1"/>
    <xf fontId="0" fillId="0" borderId="36" numFmtId="0" xfId="0" applyBorder="1"/>
    <xf fontId="0" fillId="0" borderId="12" numFmtId="0" xfId="0" applyBorder="1"/>
    <xf fontId="0" fillId="2" borderId="37" numFmtId="0" xfId="0" applyFill="1" applyBorder="1" applyAlignment="1">
      <alignment horizontal="center" textRotation="180" vertical="center"/>
    </xf>
    <xf fontId="0" fillId="2" borderId="38" numFmtId="0" xfId="0" applyFill="1" applyBorder="1" applyAlignment="1">
      <alignment horizontal="left" vertical="center"/>
    </xf>
    <xf fontId="0" fillId="0" borderId="39" numFmtId="0" xfId="0" applyBorder="1"/>
    <xf fontId="0" fillId="3" borderId="40" numFmtId="0" xfId="0" applyFill="1" applyBorder="1"/>
    <xf fontId="0" fillId="3" borderId="41" numFmtId="0" xfId="0" applyFill="1" applyBorder="1"/>
    <xf fontId="0" fillId="3" borderId="42" numFmtId="0" xfId="0" applyFill="1" applyBorder="1"/>
    <xf fontId="0" fillId="3" borderId="16" numFmtId="0" xfId="0" applyFill="1" applyBorder="1"/>
    <xf fontId="0" fillId="2" borderId="43" numFmtId="0" xfId="0" applyFill="1" applyBorder="1" applyAlignment="1">
      <alignment horizontal="center" textRotation="180" vertical="center"/>
    </xf>
    <xf fontId="0" fillId="2" borderId="44" numFmtId="0" xfId="0" applyFill="1" applyBorder="1" applyAlignment="1">
      <alignment horizontal="left" vertical="center"/>
    </xf>
    <xf fontId="0" fillId="0" borderId="45" numFmtId="0" xfId="0" applyBorder="1"/>
    <xf fontId="0" fillId="0" borderId="46" numFmtId="0" xfId="0" applyBorder="1"/>
    <xf fontId="0" fillId="0" borderId="47" numFmtId="0" xfId="0" applyBorder="1"/>
    <xf fontId="0" fillId="0" borderId="48" numFmtId="0" xfId="0" applyBorder="1"/>
    <xf fontId="0" fillId="4" borderId="46" numFmtId="0" xfId="0" applyFill="1" applyBorder="1"/>
    <xf fontId="0" fillId="0" borderId="49" numFmtId="0" xfId="0" applyBorder="1"/>
    <xf fontId="0" fillId="3" borderId="50" numFmtId="0" xfId="0" applyFill="1" applyBorder="1"/>
    <xf fontId="0" fillId="3" borderId="51" numFmtId="0" xfId="0" applyFill="1" applyBorder="1"/>
    <xf fontId="0" fillId="3" borderId="52" numFmtId="0" xfId="0" applyFill="1" applyBorder="1"/>
    <xf fontId="0" fillId="3" borderId="27" numFmtId="0" xfId="0" applyFill="1" applyBorder="1"/>
    <xf fontId="0" fillId="4" borderId="47" numFmtId="0" xfId="0" applyFill="1" applyBorder="1"/>
    <xf fontId="0" fillId="4" borderId="48" numFmtId="0" xfId="0" applyFill="1" applyBorder="1"/>
    <xf fontId="0" fillId="0" borderId="53" numFmtId="0" xfId="0" applyBorder="1"/>
    <xf fontId="0" fillId="0" borderId="54" numFmtId="0" xfId="0" applyBorder="1"/>
    <xf fontId="0" fillId="0" borderId="55" numFmtId="0" xfId="0" applyBorder="1"/>
    <xf fontId="0" fillId="0" borderId="56" numFmtId="0" xfId="0" applyBorder="1"/>
    <xf fontId="0" fillId="3" borderId="12" numFmtId="0" xfId="0" applyFill="1" applyBorder="1"/>
    <xf fontId="0" fillId="3" borderId="57" numFmtId="0" xfId="0" applyFill="1" applyBorder="1" applyAlignment="1">
      <alignment horizontal="left" vertical="center"/>
    </xf>
    <xf fontId="0" fillId="0" borderId="16" numFmtId="0" xfId="0" applyBorder="1" applyAlignment="1">
      <alignment horizontal="left" vertical="center"/>
    </xf>
    <xf fontId="0" fillId="2" borderId="58" numFmtId="0" xfId="0" applyFill="1" applyBorder="1" applyAlignment="1">
      <alignment horizontal="center" textRotation="180" vertical="center"/>
    </xf>
    <xf fontId="0" fillId="2" borderId="59" numFmtId="0" xfId="0" applyFill="1" applyBorder="1" applyAlignment="1">
      <alignment horizontal="left" vertical="center"/>
    </xf>
    <xf fontId="0" fillId="0" borderId="60" numFmtId="0" xfId="0" applyBorder="1"/>
    <xf fontId="0" fillId="0" borderId="61" numFmtId="0" xfId="0" applyBorder="1"/>
    <xf fontId="0" fillId="0" borderId="62" numFmtId="0" xfId="0" applyBorder="1"/>
    <xf fontId="0" fillId="0" borderId="63" numFmtId="0" xfId="0" applyBorder="1"/>
    <xf fontId="0" fillId="4" borderId="64" numFmtId="0" xfId="0" applyFill="1" applyBorder="1" applyAlignment="1">
      <alignment horizontal="left" vertical="center"/>
    </xf>
    <xf fontId="0" fillId="0" borderId="33" numFmtId="0" xfId="0" applyBorder="1" applyAlignment="1">
      <alignment horizontal="left" vertical="center"/>
    </xf>
    <xf fontId="1" fillId="0" borderId="0" numFmtId="0" xfId="0" applyFont="1"/>
    <xf fontId="0" fillId="0" borderId="0" numFmtId="168" xfId="0" applyNumberFormat="1"/>
    <xf fontId="0" fillId="0" borderId="0" numFmtId="164" xfId="0" applyNumberFormat="1"/>
    <xf fontId="1" fillId="0" borderId="0" numFmtId="164" xfId="0" applyNumberFormat="1" applyFont="1"/>
    <xf fontId="0" fillId="0" borderId="0" numFmtId="169" xfId="0" applyNumberFormat="1"/>
  </cellXfs>
  <cellStyles count="1">
    <cellStyle name="Normal" xfId="0" builtinId="0"/>
  </cellStyles>
  <dxfs count="5">
    <dxf>
      <numFmt numFmtId="165" formatCode="dd\.mm\.yyyy;@"/>
      <alignment horizontal="left" indent="0" readingOrder="0" relativeIndent="0" shrinkToFit="0" textRotation="0" vertical="center" wrapText="0"/>
    </dxf>
    <dxf>
      <numFmt numFmtId="166" formatCode="hh:mm;@"/>
      <alignment horizontal="center" indent="0" readingOrder="0" relativeIndent="0" shrinkToFit="0" textRotation="0" vertical="center" wrapText="0"/>
    </dxf>
    <dxf>
      <alignment indent="0" readingOrder="0" relativeIndent="0" shrinkToFit="0" textRotation="0" vertical="center" wrapText="0"/>
    </dxf>
    <dxf>
      <alignment indent="0" readingOrder="0" relativeIndent="0" shrinkToFit="0" textRotation="0" vertical="center" wrapText="1"/>
    </dxf>
    <dxf>
      <numFmt numFmtId="167" formatCode="0.0&quot; H&quot;;@"/>
      <alignment horizontal="center" indent="0" readingOrder="0" relativeIndent="0" shrinkToFit="0" textRotation="0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Répartition des heures</a:t>
            </a:r>
            <a:endParaRPr/>
          </a:p>
        </c:rich>
      </c:tx>
      <c:layout>
        <c:manualLayout>
          <c:xMode val="edge"/>
          <c:yMode val="edge"/>
          <c:x val="0.378713"/>
          <c:y val="0.034239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7313"/>
          <c:y val="0.225088"/>
          <c:w val="0.386530"/>
          <c:h val="0.706953"/>
        </c:manualLayout>
      </c:layout>
      <c:pieChart>
        <c:varyColors val="1"/>
        <c:ser>
          <c:idx val="0"/>
          <c:order val="0"/>
          <c:tx>
            <c:strRef>
              <c:f>Journal!$H$2</c:f>
              <c:strCache>
                <c:ptCount val="1"/>
                <c:pt idx="0">
                  <c:v>somme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layout>
                <c:manualLayout>
                  <c:x val="-0.020779"/>
                  <c:y val="0.018288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dLbl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Lbls>
          <c:cat>
            <c:strRef>
              <c:f>Journal!$G$3:$G$6</c:f>
              <c:strCache>
                <c:ptCount val="4"/>
                <c:pt idx="0">
                  <c:v>Recherche</c:v>
                </c:pt>
                <c:pt idx="1">
                  <c:v>Documentation</c:v>
                </c:pt>
                <c:pt idx="2">
                  <c:v>Packet Tracer</c:v>
                </c:pt>
                <c:pt idx="3">
                  <c:v>Présentation</c:v>
                </c:pt>
              </c:strCache>
            </c:strRef>
          </c:cat>
          <c:val>
            <c:numRef>
              <c:f>Journal!$H$3:$H$11</c:f>
              <c:numCache>
                <c:formatCode>0.0" H";@</c:formatCode>
                <c:ptCount val="4"/>
                <c:pt idx="0">
                  <c:v>18.5</c:v>
                </c:pt>
                <c:pt idx="1">
                  <c:v>24.5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dLblPos val="outEnd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697322"/>
          <c:y val="0.306560"/>
          <c:w val="0.285371"/>
          <c:h val="0.446444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/>
              <a:t> du nombre d'heure</a:t>
            </a:r>
            <a:endParaRPr lang="en-US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660"/>
          <c:y val="0.138910"/>
          <c:w val="0.871560"/>
          <c:h val="0.682290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SommeParJours!$B$1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SommeParJours!$A$2:$A$24</c:f>
            </c:numRef>
          </c:cat>
          <c:val>
            <c:numRef>
              <c:f>SommeParJours!$B$2:$B$24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axId val="745490229"/>
        <c:axId val="745490230"/>
      </c:barChart>
      <c:catAx>
        <c:axId val="74549022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Date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fr-FR"/>
          </a:p>
        </c:txPr>
        <c:crossAx val="745490230"/>
        <c:crosses val="autoZero"/>
        <c:auto val="0"/>
        <c:lblAlgn val="ctr"/>
        <c:lblOffset val="100"/>
        <c:noMultiLvlLbl val="1"/>
      </c:catAx>
      <c:valAx>
        <c:axId val="74549023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900"/>
                  <a:t>Nombre</a:t>
                </a:r>
                <a:r>
                  <a:rPr lang="fr-CH" sz="900"/>
                  <a:t> d'heures</a:t>
                </a:r>
                <a:endParaRPr lang="fr-CH" sz="900"/>
              </a:p>
            </c:rich>
          </c:tx>
          <c:layout>
            <c:manualLayout>
              <c:xMode val="edge"/>
              <c:yMode val="edge"/>
              <c:x val="0.015660"/>
              <c:y val="0.3224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h:mm;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fr-FR"/>
          </a:p>
        </c:txPr>
        <c:crossAx val="74549022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14800"/>
          <c:y val="0.925560"/>
          <c:w val="0.158630"/>
          <c:h val="0.06216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 rot="0">
      <a:off x="1174749" y="293407"/>
      <a:ext cx="7662854" cy="3391085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/>
              <a:t> du nombre d'heure</a:t>
            </a:r>
            <a:endParaRPr lang="en-US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72978"/>
          <c:y val="0.138914"/>
          <c:w val="0.911258"/>
          <c:h val="0.682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SommeParJours!$B$1</c:f>
              <c:strCache>
                <c:ptCount val="1"/>
                <c:pt idx="0">
                  <c:v>somme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SommeParJours!$A$2:$A$14</c:f>
              <c:numCache>
                <c:formatCode>d/m/yy;@</c:formatCode>
                <c:ptCount val="13"/>
                <c:pt idx="0">
                  <c:v>45958</c:v>
                </c:pt>
                <c:pt idx="1">
                  <c:v>45965</c:v>
                </c:pt>
                <c:pt idx="2">
                  <c:v>45972</c:v>
                </c:pt>
                <c:pt idx="3">
                  <c:v>45974</c:v>
                </c:pt>
                <c:pt idx="4">
                  <c:v>45979</c:v>
                </c:pt>
                <c:pt idx="5">
                  <c:v>45986</c:v>
                </c:pt>
                <c:pt idx="6">
                  <c:v>45993</c:v>
                </c:pt>
                <c:pt idx="7">
                  <c:v>45995</c:v>
                </c:pt>
                <c:pt idx="8">
                  <c:v>46000</c:v>
                </c:pt>
                <c:pt idx="9">
                  <c:v>46007</c:v>
                </c:pt>
              </c:numCache>
            </c:numRef>
          </c:cat>
          <c:val>
            <c:numRef>
              <c:f>SommeParJours!$B$2:$B$14</c:f>
              <c:numCache>
                <c:formatCode>h:mm;@</c:formatCode>
                <c:ptCount val="13"/>
                <c:pt idx="0">
                  <c:v>0.16666666666666666</c:v>
                </c:pt>
                <c:pt idx="1">
                  <c:v>0.125</c:v>
                </c:pt>
                <c:pt idx="2">
                  <c:v>0.35416666666666663</c:v>
                </c:pt>
                <c:pt idx="3">
                  <c:v>0.0625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0.16666666666666666</c:v>
                </c:pt>
                <c:pt idx="7">
                  <c:v>0.16666666666666666</c:v>
                </c:pt>
                <c:pt idx="8">
                  <c:v>0.16666666666666666</c:v>
                </c:pt>
                <c:pt idx="9">
                  <c:v>0.25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axId val="745489864"/>
        <c:axId val="745490224"/>
      </c:barChart>
      <c:catAx>
        <c:axId val="74548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Date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5490224"/>
        <c:crosses val="autoZero"/>
        <c:auto val="0"/>
        <c:lblAlgn val="ctr"/>
        <c:lblOffset val="100"/>
        <c:noMultiLvlLbl val="1"/>
      </c:catAx>
      <c:valAx>
        <c:axId val="7454902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900"/>
                  <a:t>Nombre</a:t>
                </a:r>
                <a:r>
                  <a:rPr lang="fr-CH" sz="900"/>
                  <a:t> d'heures</a:t>
                </a:r>
                <a:endParaRPr lang="fr-CH" sz="900"/>
              </a:p>
            </c:rich>
          </c:tx>
          <c:layout>
            <c:manualLayout>
              <c:xMode val="edge"/>
              <c:yMode val="edge"/>
              <c:x val="0.015668"/>
              <c:y val="0.322494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h:mm;@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5489864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14809"/>
          <c:y val="0.925561"/>
          <c:w val="0.158631"/>
          <c:h val="0.062167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493058</xdr:colOff>
      <xdr:row>20</xdr:row>
      <xdr:rowOff>26894</xdr:rowOff>
    </xdr:from>
    <xdr:to>
      <xdr:col>10</xdr:col>
      <xdr:colOff>925037</xdr:colOff>
      <xdr:row>32</xdr:row>
      <xdr:rowOff>161277</xdr:rowOff>
    </xdr:to>
    <xdr:graphicFrame>
      <xdr:nvGraphicFramePr>
        <xdr:cNvPr id="4" name="Graphique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</xdr:col>
      <xdr:colOff>412749</xdr:colOff>
      <xdr:row>1</xdr:row>
      <xdr:rowOff>110527</xdr:rowOff>
    </xdr:from>
    <xdr:to>
      <xdr:col>11</xdr:col>
      <xdr:colOff>186362</xdr:colOff>
      <xdr:row>20</xdr:row>
      <xdr:rowOff>26892</xdr:rowOff>
    </xdr:to>
    <xdr:graphicFrame>
      <xdr:nvGraphicFramePr>
        <xdr:cNvPr id="1871765076" name=""/>
        <xdr:cNvGraphicFramePr>
          <a:graphicFrameLocks xmlns:a="http://schemas.openxmlformats.org/drawingml/2006/main"/>
        </xdr:cNvGraphicFramePr>
      </xdr:nvGraphicFramePr>
      <xdr:xfrm rot="0">
        <a:off x="1174749" y="293407"/>
        <a:ext cx="7662854" cy="3391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83820</xdr:colOff>
      <xdr:row>2</xdr:row>
      <xdr:rowOff>83820</xdr:rowOff>
    </xdr:from>
    <xdr:to>
      <xdr:col>16</xdr:col>
      <xdr:colOff>320040</xdr:colOff>
      <xdr:row>23</xdr:row>
      <xdr:rowOff>22860</xdr:rowOff>
    </xdr:to>
    <xdr:graphicFrame>
      <xdr:nvGraphicFramePr>
        <xdr:cNvPr id="2" name="Graphique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Journal" ref="B2:E42">
  <autoFilter ref="B2:E42"/>
  <tableColumns count="4">
    <tableColumn id="1" name="date" dataDxfId="0"/>
    <tableColumn id="2" name="Temps" dataDxfId="1"/>
    <tableColumn id="3" name="type de travail" dataDxfId="2"/>
    <tableColumn id="4" name="description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ypes" ref="G2:H12">
  <autoFilter ref="G2:H12"/>
  <tableColumns count="2">
    <tableColumn id="1" name="type de travail"/>
    <tableColumn id="2" name="somme" dataDxfId="4"/>
  </tableColumns>
  <tableStyleInfo name="TableStyleMedium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8.88671875" defaultRowHeight="14.25"/>
  <cols>
    <col customWidth="1" min="2" max="2" width="11.33203125"/>
    <col customWidth="1" min="3" max="3" width="7.6640625"/>
    <col bestFit="1" customWidth="1" min="4" max="4" width="15.21875"/>
    <col customWidth="1" min="5" max="5" width="46.5546875"/>
    <col customWidth="1" min="6" max="6" width="2"/>
    <col customWidth="1" min="7" max="7" width="18.33203125"/>
    <col customWidth="1" min="8" max="8" width="12.44140625"/>
  </cols>
  <sheetData>
    <row r="2">
      <c r="B2" t="s">
        <v>0</v>
      </c>
      <c r="C2" s="1" t="s">
        <v>1</v>
      </c>
      <c r="D2" t="s">
        <v>2</v>
      </c>
      <c r="E2" t="s">
        <v>3</v>
      </c>
      <c r="G2" t="s">
        <v>2</v>
      </c>
      <c r="H2" s="2" t="s">
        <v>4</v>
      </c>
    </row>
    <row r="3">
      <c r="B3" s="3" t="s">
        <v>5</v>
      </c>
      <c r="C3" s="4">
        <v>0.125</v>
      </c>
      <c r="D3" s="5" t="s">
        <v>6</v>
      </c>
      <c r="E3" s="6" t="s">
        <v>7</v>
      </c>
      <c r="G3" t="s">
        <v>6</v>
      </c>
      <c r="H3" s="7">
        <f>SUMIF(Journal[type de travail],types[[#This Row],[type de travail]],Journal[Temps])*24</f>
        <v>3</v>
      </c>
      <c r="J3" s="8"/>
    </row>
    <row r="4">
      <c r="B4" s="3" t="s">
        <v>5</v>
      </c>
      <c r="C4" s="4">
        <v>0.041666666666666664</v>
      </c>
      <c r="D4" s="9" t="s">
        <v>8</v>
      </c>
      <c r="E4" s="6" t="s">
        <v>9</v>
      </c>
      <c r="G4" s="10" t="s">
        <v>8</v>
      </c>
      <c r="H4" s="7">
        <f>SUMIF(Journal[type de travail],types[[#This Row],[type de travail]],Journal[Temps])*24</f>
        <v>2</v>
      </c>
    </row>
    <row r="5">
      <c r="B5" s="3" t="s">
        <v>10</v>
      </c>
      <c r="C5" s="4">
        <v>0.125</v>
      </c>
      <c r="D5" s="9" t="s">
        <v>11</v>
      </c>
      <c r="E5" s="6" t="s">
        <v>12</v>
      </c>
      <c r="G5" s="10" t="s">
        <v>11</v>
      </c>
      <c r="H5" s="7">
        <f>SUMIF(Journal[type de travail],types[[#This Row],[type de travail]],Journal[Temps])*24</f>
        <v>3</v>
      </c>
    </row>
    <row r="6">
      <c r="B6" s="3" t="s">
        <v>10</v>
      </c>
      <c r="C6" s="4">
        <v>0.041666666666666664</v>
      </c>
      <c r="D6" s="9" t="s">
        <v>8</v>
      </c>
      <c r="E6" s="6" t="s">
        <v>13</v>
      </c>
      <c r="G6" t="s">
        <v>14</v>
      </c>
      <c r="H6" s="7">
        <f>SUMIF(Journal[type de travail],types[[#This Row],[type de travail]],Journal[Temps])*24</f>
        <v>0</v>
      </c>
    </row>
    <row r="7">
      <c r="B7" s="11"/>
      <c r="C7" s="4"/>
      <c r="D7" s="5"/>
      <c r="E7" s="12"/>
      <c r="G7" s="13" t="s">
        <v>15</v>
      </c>
      <c r="H7" s="7">
        <f>SUMIF(Journal[type de travail],types[[#This Row],[type de travail]],Journal[Temps])*24</f>
        <v>0</v>
      </c>
    </row>
    <row r="8">
      <c r="B8" s="11"/>
      <c r="C8" s="4"/>
      <c r="D8" s="5"/>
      <c r="E8" s="12"/>
      <c r="G8" s="10"/>
      <c r="H8" s="7">
        <f>SUMIF(Journal[type de travail],types[[#This Row],[type de travail]],Journal[Temps])*24</f>
        <v>0</v>
      </c>
    </row>
    <row r="9">
      <c r="B9" s="11"/>
      <c r="C9" s="4"/>
      <c r="D9" s="5"/>
      <c r="E9" s="12"/>
      <c r="G9" s="14"/>
      <c r="H9" s="7">
        <f>SUMIF(Journal[type de travail],types[[#This Row],[type de travail]],Journal[Temps])*24</f>
        <v>0</v>
      </c>
    </row>
    <row r="10">
      <c r="B10" s="11"/>
      <c r="C10" s="4"/>
      <c r="D10" s="5"/>
      <c r="E10" s="12"/>
      <c r="H10" s="7">
        <f>SUMIF(Journal[type de travail],types[[#This Row],[type de travail]],Journal[Temps])*24</f>
        <v>0</v>
      </c>
    </row>
    <row r="11" ht="28.5">
      <c r="B11" s="11"/>
      <c r="C11" s="4"/>
      <c r="D11" s="5"/>
      <c r="E11" s="12"/>
      <c r="G11" s="15" t="s">
        <v>16</v>
      </c>
      <c r="H11" s="16">
        <f>SUMIF(Journal[type de travail],types[[#This Row],[type de travail]],Journal[Temps])*24</f>
        <v>0</v>
      </c>
    </row>
    <row r="12" ht="15">
      <c r="B12" s="11"/>
      <c r="C12" s="4"/>
      <c r="D12" s="5"/>
      <c r="E12" s="12"/>
      <c r="G12" t="s">
        <v>17</v>
      </c>
      <c r="H12" s="7">
        <f>SUM(H3:H11)</f>
        <v>8</v>
      </c>
    </row>
    <row r="13">
      <c r="B13" s="11"/>
      <c r="C13" s="4"/>
      <c r="D13" s="5"/>
      <c r="E13" s="12"/>
      <c r="H13" s="7"/>
    </row>
    <row r="14" ht="28.5">
      <c r="B14" s="11"/>
      <c r="C14" s="4"/>
      <c r="D14" s="5"/>
      <c r="E14" s="12"/>
    </row>
    <row r="15">
      <c r="B15" s="11"/>
      <c r="C15" s="4"/>
      <c r="D15" s="5"/>
      <c r="E15" s="12"/>
    </row>
    <row r="16">
      <c r="B16" s="11"/>
      <c r="C16" s="4"/>
      <c r="D16" s="5"/>
      <c r="E16" s="12"/>
    </row>
    <row r="17">
      <c r="B17" s="11"/>
      <c r="C17" s="4"/>
      <c r="D17" s="5"/>
      <c r="E17" s="12"/>
    </row>
    <row r="18" ht="28.5">
      <c r="B18" s="11"/>
      <c r="C18" s="4"/>
      <c r="D18" s="5"/>
      <c r="E18" s="12"/>
    </row>
    <row r="19">
      <c r="B19" s="11"/>
      <c r="C19" s="4"/>
      <c r="D19" s="5"/>
      <c r="E19" s="12"/>
    </row>
    <row r="20" ht="28.5">
      <c r="B20" s="11"/>
      <c r="C20" s="4"/>
      <c r="D20" s="5"/>
      <c r="E20" s="12"/>
    </row>
    <row r="21" ht="28.5">
      <c r="B21" s="11"/>
      <c r="C21" s="4"/>
      <c r="D21" s="5"/>
      <c r="E21" s="12"/>
    </row>
    <row r="22" ht="28.5">
      <c r="B22" s="11"/>
      <c r="C22" s="4"/>
      <c r="D22" s="5"/>
      <c r="E22" s="12"/>
    </row>
    <row r="23">
      <c r="B23" s="11"/>
      <c r="C23" s="4"/>
      <c r="D23" s="5"/>
      <c r="E23" s="12"/>
    </row>
    <row r="24">
      <c r="B24" s="11"/>
      <c r="C24" s="4"/>
      <c r="D24" s="5"/>
      <c r="E24" s="12"/>
    </row>
    <row r="25">
      <c r="B25" s="17"/>
      <c r="C25" s="4"/>
      <c r="D25" s="5"/>
      <c r="E25" s="12"/>
    </row>
    <row r="26">
      <c r="B26" s="17"/>
      <c r="C26" s="4"/>
      <c r="D26" s="5"/>
      <c r="E26" s="12"/>
    </row>
    <row r="27">
      <c r="B27" s="17"/>
      <c r="C27" s="4"/>
      <c r="D27" s="5"/>
      <c r="E27" s="12"/>
    </row>
    <row r="28">
      <c r="B28" s="17"/>
      <c r="C28" s="4"/>
      <c r="D28" s="5"/>
      <c r="E28" s="12"/>
    </row>
    <row r="29">
      <c r="B29" s="17"/>
      <c r="C29" s="4"/>
      <c r="D29" s="5"/>
      <c r="E29" s="12"/>
    </row>
    <row r="30">
      <c r="B30" s="17"/>
      <c r="C30" s="4"/>
      <c r="D30" s="5"/>
      <c r="E30" s="12"/>
    </row>
    <row r="31">
      <c r="B31" s="17"/>
      <c r="C31" s="4"/>
      <c r="D31" s="5"/>
      <c r="E31" s="12"/>
    </row>
    <row r="32">
      <c r="B32" s="17"/>
      <c r="C32" s="4"/>
      <c r="D32" s="5"/>
      <c r="E32" s="12"/>
    </row>
    <row r="33">
      <c r="B33" s="17"/>
      <c r="C33" s="4"/>
      <c r="D33" s="5"/>
      <c r="E33" s="12"/>
    </row>
    <row r="34">
      <c r="B34" s="17"/>
      <c r="C34" s="4"/>
      <c r="D34" s="5"/>
      <c r="E34" s="12"/>
    </row>
    <row r="35">
      <c r="B35" s="17"/>
      <c r="C35" s="4"/>
      <c r="D35" s="12"/>
      <c r="E35" s="12"/>
    </row>
    <row r="36">
      <c r="B36" s="17"/>
      <c r="C36" s="4"/>
      <c r="D36" s="5"/>
      <c r="E36" s="12"/>
    </row>
    <row r="37">
      <c r="B37" s="17"/>
      <c r="C37" s="4"/>
      <c r="D37" s="5"/>
      <c r="E37" s="12"/>
    </row>
    <row r="38">
      <c r="B38" s="17"/>
      <c r="C38" s="4"/>
      <c r="D38" s="5"/>
      <c r="E38" s="12"/>
    </row>
    <row r="39">
      <c r="B39" s="17"/>
      <c r="C39" s="4"/>
      <c r="D39" s="5"/>
      <c r="E39" s="12"/>
    </row>
    <row r="40">
      <c r="B40" s="17"/>
      <c r="C40" s="4"/>
      <c r="D40" s="5"/>
      <c r="E40" s="12"/>
    </row>
    <row r="41">
      <c r="B41" s="17"/>
      <c r="C41" s="4"/>
      <c r="D41" s="5"/>
      <c r="E41" s="12"/>
    </row>
    <row r="42">
      <c r="B42" s="17"/>
      <c r="C42" s="4"/>
      <c r="D42" s="5"/>
      <c r="E42" s="12"/>
    </row>
    <row r="43">
      <c r="B43" s="17"/>
      <c r="C43" s="4"/>
      <c r="D43" s="5"/>
      <c r="E43" s="12"/>
    </row>
    <row r="44">
      <c r="B44" s="17"/>
      <c r="C44" s="4"/>
      <c r="D44" s="5"/>
      <c r="E44" s="12"/>
    </row>
    <row r="45">
      <c r="B45" s="17"/>
      <c r="C45" s="4"/>
      <c r="D45" s="5"/>
      <c r="E45" s="12"/>
    </row>
    <row r="46">
      <c r="B46" s="5"/>
      <c r="C46" s="5"/>
      <c r="D46" s="5"/>
      <c r="E46" s="5"/>
    </row>
    <row r="47">
      <c r="B47" s="5"/>
      <c r="C47" s="5"/>
      <c r="D47" s="5"/>
      <c r="E47" s="5"/>
    </row>
    <row r="48">
      <c r="B48" s="5"/>
      <c r="C48" s="5"/>
      <c r="D48" s="5"/>
      <c r="E48" s="5"/>
    </row>
    <row r="49">
      <c r="B49" s="5"/>
      <c r="C49" s="5"/>
      <c r="D49" s="5"/>
      <c r="E49" s="5"/>
    </row>
    <row r="50">
      <c r="B50" s="5"/>
      <c r="C50" s="5"/>
      <c r="D50" s="5"/>
      <c r="E50" s="5"/>
    </row>
    <row r="51">
      <c r="B51" s="5"/>
      <c r="C51" s="5"/>
      <c r="D51" s="5"/>
      <c r="E51" s="5"/>
    </row>
    <row r="52">
      <c r="B52" s="5"/>
      <c r="C52" s="5"/>
      <c r="D52" s="5"/>
      <c r="E52" s="5"/>
    </row>
    <row r="53">
      <c r="B53" s="5"/>
      <c r="C53" s="5"/>
      <c r="D53" s="5"/>
      <c r="E53" s="5"/>
    </row>
    <row r="54">
      <c r="B54" s="5"/>
      <c r="C54" s="5"/>
      <c r="D54" s="5"/>
      <c r="E54" s="5"/>
    </row>
    <row r="55">
      <c r="B55" s="5"/>
      <c r="C55" s="5"/>
      <c r="D55" s="5"/>
      <c r="E55" s="5"/>
    </row>
    <row r="56">
      <c r="B56" s="5"/>
      <c r="C56" s="5"/>
      <c r="D56" s="5"/>
      <c r="E56" s="5"/>
    </row>
    <row r="57">
      <c r="B57" s="5"/>
      <c r="C57" s="5"/>
      <c r="D57" s="5"/>
      <c r="E57" s="5"/>
    </row>
    <row r="58">
      <c r="B58" s="5"/>
      <c r="C58" s="5"/>
      <c r="D58" s="5"/>
      <c r="E58" s="5"/>
    </row>
    <row r="59">
      <c r="B59" s="5"/>
      <c r="C59" s="5"/>
      <c r="D59" s="5"/>
      <c r="E59" s="5"/>
    </row>
    <row r="60">
      <c r="B60" s="5"/>
      <c r="C60" s="5"/>
      <c r="D60" s="5"/>
      <c r="E60" s="5"/>
    </row>
    <row r="61">
      <c r="B61" s="5"/>
      <c r="C61" s="5"/>
      <c r="D61" s="5"/>
      <c r="E61" s="5"/>
    </row>
    <row r="62">
      <c r="B62" s="5"/>
      <c r="C62" s="5"/>
      <c r="D62" s="5"/>
      <c r="E62" s="5"/>
    </row>
    <row r="63">
      <c r="B63" s="5"/>
      <c r="C63" s="5"/>
      <c r="D63" s="5"/>
      <c r="E63" s="5"/>
    </row>
    <row r="64">
      <c r="B64" s="5"/>
      <c r="C64" s="5"/>
      <c r="D64" s="5"/>
      <c r="E64" s="5"/>
    </row>
    <row r="65">
      <c r="B65" s="5"/>
      <c r="C65" s="5"/>
      <c r="D65" s="5"/>
      <c r="E65" s="5"/>
    </row>
    <row r="66">
      <c r="B66" s="5"/>
      <c r="C66" s="5"/>
      <c r="D66" s="5"/>
      <c r="E66" s="5"/>
    </row>
    <row r="67">
      <c r="B67" s="5"/>
      <c r="C67" s="5"/>
      <c r="D67" s="5"/>
      <c r="E67" s="5"/>
    </row>
    <row r="68">
      <c r="B68" s="5"/>
      <c r="C68" s="5"/>
      <c r="D68" s="5"/>
      <c r="E68" s="5"/>
    </row>
    <row r="69">
      <c r="B69" s="5"/>
      <c r="C69" s="5"/>
      <c r="D69" s="5"/>
      <c r="E69" s="5"/>
    </row>
    <row r="70">
      <c r="B70" s="5"/>
      <c r="C70" s="5"/>
      <c r="D70" s="5"/>
      <c r="E70" s="5"/>
    </row>
    <row r="71">
      <c r="B71" s="5"/>
      <c r="C71" s="5"/>
      <c r="D71" s="5"/>
      <c r="E71" s="5"/>
    </row>
    <row r="72">
      <c r="B72" s="5"/>
      <c r="C72" s="5"/>
      <c r="D72" s="5"/>
      <c r="E72" s="5"/>
    </row>
    <row r="73">
      <c r="B73" s="5"/>
      <c r="C73" s="5"/>
      <c r="D73" s="5"/>
      <c r="E73" s="5"/>
    </row>
    <row r="74">
      <c r="B74" s="5"/>
      <c r="C74" s="5"/>
      <c r="D74" s="5"/>
      <c r="E74" s="5"/>
    </row>
    <row r="75">
      <c r="B75" s="5"/>
      <c r="C75" s="5"/>
      <c r="D75" s="5"/>
      <c r="E75" s="5"/>
    </row>
    <row r="76">
      <c r="B76" s="5"/>
      <c r="C76" s="5"/>
      <c r="D76" s="5"/>
      <c r="E76" s="5"/>
    </row>
    <row r="77">
      <c r="B77" s="5"/>
      <c r="C77" s="5"/>
      <c r="D77" s="5"/>
      <c r="E77" s="5"/>
    </row>
    <row r="78">
      <c r="B78" s="5"/>
      <c r="C78" s="5"/>
      <c r="D78" s="5"/>
      <c r="E78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E005D-0076-4BFB-8D29-005100AF008D}" type="list" allowBlank="1" errorStyle="stop" imeMode="noControl" operator="between" showDropDown="0" showErrorMessage="1" showInputMessage="1">
          <x14:formula1>
            <xm:f>$G$3:$G$7</xm:f>
          </x14:formula1>
          <xm:sqref>D20:D23 D3:D12 D14:D18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0.59999389629810485"/>
    <outlinePr applyStyles="0" summaryBelow="1" summaryRight="1" showOutlineSymbols="1"/>
    <pageSetUpPr autoPageBreaks="1" fitToPage="0"/>
  </sheetPr>
  <sheetViews>
    <sheetView zoomScale="85" workbookViewId="0">
      <selection activeCell="A1" activeCellId="0" sqref="A1"/>
    </sheetView>
  </sheetViews>
  <sheetFormatPr baseColWidth="10" defaultRowHeight="14.4"/>
  <cols>
    <col customWidth="1" min="2" max="3" width="11.5546875"/>
    <col customWidth="1" min="11" max="11" width="15.109375"/>
  </cols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/>
    <outlinePr applyStyles="0" summaryBelow="1" summaryRight="1" showOutlineSymbols="1"/>
    <pageSetUpPr autoPageBreaks="1" fitToPage="0"/>
  </sheetPr>
  <sheetViews>
    <sheetView zoomScale="115" workbookViewId="0">
      <selection activeCell="A1" activeCellId="0" sqref="A1"/>
    </sheetView>
  </sheetViews>
  <sheetFormatPr baseColWidth="10" defaultColWidth="8.88671875" defaultRowHeight="14.25"/>
  <cols>
    <col customWidth="1" min="1" max="1" width="2.88671875"/>
    <col customWidth="1" min="2" max="2" width="6.5546875"/>
    <col bestFit="1" customWidth="1" min="3" max="3" width="31.21875"/>
    <col customWidth="1" min="4" max="4" width="3.33203125"/>
    <col customWidth="1" min="5" max="19" width="4.33203125"/>
    <col customWidth="1" min="20" max="20" width="3.21875"/>
    <col customWidth="1" min="21" max="21" width="2.88671875"/>
    <col customWidth="1" min="22" max="22" width="17.21875"/>
    <col bestFit="1" customWidth="1" min="30" max="30" width="10.109375"/>
  </cols>
  <sheetData>
    <row r="1" ht="15">
      <c r="B1" s="18"/>
    </row>
    <row r="2" ht="56.399999999999999" customHeight="1">
      <c r="B2" s="19" t="s">
        <v>18</v>
      </c>
      <c r="C2" s="20" t="s">
        <v>19</v>
      </c>
      <c r="D2" s="21" t="s">
        <v>20</v>
      </c>
      <c r="E2" s="22" t="s">
        <v>21</v>
      </c>
      <c r="F2" s="23" t="s">
        <v>22</v>
      </c>
      <c r="G2" s="23"/>
      <c r="H2" s="23"/>
      <c r="I2" s="22"/>
      <c r="J2" s="23" t="s">
        <v>23</v>
      </c>
      <c r="K2" s="23"/>
      <c r="L2" s="23"/>
      <c r="M2" s="22"/>
      <c r="N2" s="23" t="s">
        <v>24</v>
      </c>
      <c r="O2" s="23"/>
      <c r="P2" s="23"/>
      <c r="Q2" s="22"/>
      <c r="R2" s="23" t="s">
        <v>25</v>
      </c>
      <c r="S2" s="24"/>
      <c r="AD2" s="25"/>
    </row>
    <row r="3" ht="15">
      <c r="B3" s="26"/>
      <c r="C3" s="27"/>
      <c r="D3" s="28" t="s">
        <v>26</v>
      </c>
      <c r="E3" s="29">
        <v>4</v>
      </c>
      <c r="F3" s="30">
        <v>1</v>
      </c>
      <c r="G3" s="31">
        <v>2</v>
      </c>
      <c r="H3" s="31">
        <v>3</v>
      </c>
      <c r="I3" s="29">
        <v>4</v>
      </c>
      <c r="J3" s="30">
        <v>1</v>
      </c>
      <c r="K3" s="31">
        <v>2</v>
      </c>
      <c r="L3" s="31">
        <v>3</v>
      </c>
      <c r="M3" s="29">
        <v>4</v>
      </c>
      <c r="N3" s="30">
        <v>1</v>
      </c>
      <c r="O3" s="31">
        <v>2</v>
      </c>
      <c r="P3" s="31">
        <v>3</v>
      </c>
      <c r="Q3" s="29">
        <v>4</v>
      </c>
      <c r="R3" s="30">
        <v>1</v>
      </c>
      <c r="S3" s="32">
        <v>2</v>
      </c>
      <c r="U3" t="s">
        <v>27</v>
      </c>
    </row>
    <row r="4" ht="12" customHeight="1">
      <c r="B4" s="33" t="s">
        <v>28</v>
      </c>
      <c r="C4" s="20" t="s">
        <v>29</v>
      </c>
      <c r="D4" s="34"/>
      <c r="E4" s="35"/>
      <c r="F4" s="36"/>
      <c r="G4" s="37"/>
      <c r="H4" s="37"/>
      <c r="I4" s="35"/>
      <c r="J4" s="38"/>
      <c r="K4" s="37"/>
      <c r="L4" s="37"/>
      <c r="M4" s="35"/>
      <c r="N4" s="38"/>
      <c r="O4" s="37"/>
      <c r="P4" s="37"/>
      <c r="Q4" s="35"/>
      <c r="R4" s="38"/>
      <c r="S4" s="39"/>
      <c r="U4" t="s">
        <v>30</v>
      </c>
    </row>
    <row r="5" ht="12" customHeight="1">
      <c r="B5" s="33"/>
      <c r="C5" s="40"/>
      <c r="D5" s="41"/>
      <c r="E5" s="42"/>
      <c r="F5" s="43"/>
      <c r="G5" s="44"/>
      <c r="H5" s="45"/>
      <c r="I5" s="42"/>
      <c r="J5" s="46"/>
      <c r="K5" s="45"/>
      <c r="L5" s="45"/>
      <c r="M5" s="42"/>
      <c r="N5" s="46"/>
      <c r="O5" s="45"/>
      <c r="P5" s="45"/>
      <c r="Q5" s="42"/>
      <c r="R5" s="46"/>
      <c r="S5" s="47"/>
    </row>
    <row r="6" ht="12" customHeight="1">
      <c r="B6" s="33"/>
      <c r="C6" s="48" t="s">
        <v>31</v>
      </c>
      <c r="D6" s="49"/>
      <c r="E6" s="50"/>
      <c r="F6" s="51"/>
      <c r="G6" s="52"/>
      <c r="H6" s="53"/>
      <c r="I6" s="50"/>
      <c r="J6" s="54"/>
      <c r="K6" s="53"/>
      <c r="L6" s="53"/>
      <c r="M6" s="50"/>
      <c r="N6" s="54"/>
      <c r="O6" s="53"/>
      <c r="P6" s="53"/>
      <c r="Q6" s="50"/>
      <c r="R6" s="54"/>
      <c r="S6" s="55"/>
      <c r="U6" s="56" t="s">
        <v>32</v>
      </c>
      <c r="V6" s="56"/>
    </row>
    <row r="7" ht="12" customHeight="1">
      <c r="B7" s="33"/>
      <c r="C7" s="40"/>
      <c r="D7" s="41"/>
      <c r="E7" s="42"/>
      <c r="F7" s="46"/>
      <c r="G7" s="44"/>
      <c r="H7" s="44"/>
      <c r="I7" s="42"/>
      <c r="J7" s="46"/>
      <c r="K7" s="45"/>
      <c r="L7" s="45"/>
      <c r="M7" s="42"/>
      <c r="N7" s="46"/>
      <c r="O7" s="45"/>
      <c r="P7" s="45"/>
      <c r="Q7" s="42"/>
      <c r="R7" s="46"/>
      <c r="S7" s="47"/>
      <c r="U7" t="s">
        <v>33</v>
      </c>
    </row>
    <row r="8" ht="12" customHeight="1">
      <c r="B8" s="33"/>
      <c r="C8" s="48" t="s">
        <v>34</v>
      </c>
      <c r="D8" s="49"/>
      <c r="E8" s="50"/>
      <c r="F8" s="51"/>
      <c r="G8" s="53"/>
      <c r="H8" s="53"/>
      <c r="I8" s="50"/>
      <c r="J8" s="54"/>
      <c r="K8" s="53"/>
      <c r="L8" s="53"/>
      <c r="M8" s="50"/>
      <c r="N8" s="54"/>
      <c r="O8" s="53"/>
      <c r="P8" s="53"/>
      <c r="Q8" s="50"/>
      <c r="R8" s="54"/>
      <c r="S8" s="55"/>
      <c r="U8" t="s">
        <v>35</v>
      </c>
    </row>
    <row r="9" ht="12" customHeight="1">
      <c r="B9" s="33"/>
      <c r="C9" s="40"/>
      <c r="D9" s="41"/>
      <c r="E9" s="42"/>
      <c r="F9" s="46"/>
      <c r="G9" s="44"/>
      <c r="H9" s="45"/>
      <c r="I9" s="42"/>
      <c r="J9" s="46"/>
      <c r="K9" s="45"/>
      <c r="L9" s="45"/>
      <c r="M9" s="42"/>
      <c r="N9" s="46"/>
      <c r="O9" s="45"/>
      <c r="P9" s="45"/>
      <c r="Q9" s="42"/>
      <c r="R9" s="46"/>
      <c r="S9" s="47"/>
    </row>
    <row r="10" ht="12" customHeight="1">
      <c r="B10" s="33"/>
      <c r="C10" s="48" t="s">
        <v>36</v>
      </c>
      <c r="D10" s="49"/>
      <c r="E10" s="50"/>
      <c r="F10" s="54"/>
      <c r="G10" s="52"/>
      <c r="H10" s="52"/>
      <c r="I10" s="50"/>
      <c r="J10" s="54"/>
      <c r="K10" s="53"/>
      <c r="L10" s="53"/>
      <c r="M10" s="50"/>
      <c r="N10" s="54"/>
      <c r="O10" s="53"/>
      <c r="P10" s="53"/>
      <c r="Q10" s="50"/>
      <c r="R10" s="54"/>
      <c r="S10" s="55"/>
    </row>
    <row r="11" ht="12" customHeight="1">
      <c r="B11" s="57"/>
      <c r="C11" s="58"/>
      <c r="D11" s="59"/>
      <c r="E11" s="60"/>
      <c r="F11" s="61"/>
      <c r="G11" s="62"/>
      <c r="H11" s="62"/>
      <c r="I11" s="60"/>
      <c r="J11" s="61"/>
      <c r="K11" s="63"/>
      <c r="L11" s="63"/>
      <c r="M11" s="60"/>
      <c r="N11" s="61"/>
      <c r="O11" s="63"/>
      <c r="P11" s="63"/>
      <c r="Q11" s="60"/>
      <c r="R11" s="61"/>
      <c r="S11" s="64"/>
    </row>
    <row r="12" ht="12" customHeight="1">
      <c r="B12" s="19" t="s">
        <v>37</v>
      </c>
      <c r="C12" s="20" t="s">
        <v>38</v>
      </c>
      <c r="D12" s="34"/>
      <c r="E12" s="35"/>
      <c r="F12" s="38"/>
      <c r="G12" s="37"/>
      <c r="H12" s="65"/>
      <c r="I12" s="66"/>
      <c r="J12" s="38"/>
      <c r="K12" s="37"/>
      <c r="L12" s="37"/>
      <c r="M12" s="35"/>
      <c r="N12" s="38"/>
      <c r="O12" s="37"/>
      <c r="P12" s="37"/>
      <c r="Q12" s="35"/>
      <c r="R12" s="38"/>
      <c r="S12" s="39"/>
    </row>
    <row r="13" ht="12" customHeight="1">
      <c r="B13" s="33"/>
      <c r="C13" s="40"/>
      <c r="D13" s="41"/>
      <c r="E13" s="42"/>
      <c r="F13" s="46"/>
      <c r="G13" s="45"/>
      <c r="H13" s="45"/>
      <c r="I13" s="42"/>
      <c r="J13" s="43"/>
      <c r="K13" s="45"/>
      <c r="L13" s="45"/>
      <c r="M13" s="42"/>
      <c r="N13" s="46"/>
      <c r="O13" s="45"/>
      <c r="P13" s="45"/>
      <c r="Q13" s="42"/>
      <c r="R13" s="46"/>
      <c r="S13" s="47"/>
    </row>
    <row r="14" ht="12" customHeight="1">
      <c r="B14" s="33"/>
      <c r="C14" s="48" t="s">
        <v>39</v>
      </c>
      <c r="D14" s="67"/>
      <c r="E14" s="50"/>
      <c r="F14" s="54"/>
      <c r="G14" s="53"/>
      <c r="H14" s="52"/>
      <c r="I14" s="50"/>
      <c r="J14" s="54"/>
      <c r="K14" s="53"/>
      <c r="L14" s="53"/>
      <c r="M14" s="50"/>
      <c r="N14" s="54"/>
      <c r="O14" s="53"/>
      <c r="P14" s="53"/>
      <c r="Q14" s="50"/>
      <c r="R14" s="54"/>
      <c r="S14" s="55"/>
    </row>
    <row r="15" ht="12" customHeight="1">
      <c r="B15" s="33"/>
      <c r="C15" s="40"/>
      <c r="D15" s="41"/>
      <c r="E15" s="42"/>
      <c r="F15" s="46"/>
      <c r="G15" s="45"/>
      <c r="H15" s="45"/>
      <c r="I15" s="68"/>
      <c r="J15" s="43"/>
      <c r="K15" s="45"/>
      <c r="L15" s="45"/>
      <c r="M15" s="42"/>
      <c r="N15" s="46"/>
      <c r="O15" s="45"/>
      <c r="P15" s="45"/>
      <c r="Q15" s="42"/>
      <c r="R15" s="46"/>
      <c r="S15" s="47"/>
    </row>
    <row r="16" ht="12" customHeight="1">
      <c r="B16" s="33"/>
      <c r="C16" s="48" t="s">
        <v>40</v>
      </c>
      <c r="D16" s="49"/>
      <c r="E16" s="50"/>
      <c r="F16" s="54"/>
      <c r="G16" s="53"/>
      <c r="H16" s="52"/>
      <c r="I16" s="69"/>
      <c r="J16" s="54"/>
      <c r="K16" s="53"/>
      <c r="L16" s="53"/>
      <c r="M16" s="50"/>
      <c r="N16" s="54"/>
      <c r="O16" s="53"/>
      <c r="P16" s="53"/>
      <c r="Q16" s="50"/>
      <c r="R16" s="54"/>
      <c r="S16" s="55"/>
    </row>
    <row r="17" ht="12" customHeight="1">
      <c r="B17" s="57"/>
      <c r="C17" s="58"/>
      <c r="D17" s="59"/>
      <c r="E17" s="60"/>
      <c r="F17" s="61"/>
      <c r="G17" s="63"/>
      <c r="H17" s="63"/>
      <c r="I17" s="60"/>
      <c r="J17" s="70"/>
      <c r="K17" s="62"/>
      <c r="L17" s="63"/>
      <c r="M17" s="60"/>
      <c r="N17" s="61"/>
      <c r="O17" s="63"/>
      <c r="P17" s="63"/>
      <c r="Q17" s="60"/>
      <c r="R17" s="61"/>
      <c r="S17" s="64"/>
    </row>
    <row r="18" ht="12" customHeight="1">
      <c r="B18" s="21" t="s">
        <v>41</v>
      </c>
      <c r="C18" s="20" t="s">
        <v>42</v>
      </c>
      <c r="D18" s="34"/>
      <c r="E18" s="35"/>
      <c r="F18" s="38"/>
      <c r="G18" s="37"/>
      <c r="H18" s="37"/>
      <c r="I18" s="66"/>
      <c r="J18" s="38"/>
      <c r="K18" s="37"/>
      <c r="L18" s="37"/>
      <c r="M18" s="35"/>
      <c r="N18" s="38"/>
      <c r="O18" s="37"/>
      <c r="P18" s="37"/>
      <c r="Q18" s="35"/>
      <c r="R18" s="38"/>
      <c r="S18" s="39"/>
    </row>
    <row r="19" ht="12" customHeight="1">
      <c r="B19" s="33"/>
      <c r="C19" s="40"/>
      <c r="D19" s="41"/>
      <c r="E19" s="42"/>
      <c r="F19" s="46"/>
      <c r="G19" s="44"/>
      <c r="H19" s="45"/>
      <c r="I19" s="42"/>
      <c r="J19" s="46"/>
      <c r="K19" s="45"/>
      <c r="L19" s="45"/>
      <c r="M19" s="42"/>
      <c r="N19" s="46"/>
      <c r="O19" s="45"/>
      <c r="P19" s="45"/>
      <c r="Q19" s="42"/>
      <c r="R19" s="46"/>
      <c r="S19" s="47"/>
    </row>
    <row r="20" ht="12" customHeight="1">
      <c r="B20" s="33"/>
      <c r="C20" s="48" t="s">
        <v>43</v>
      </c>
      <c r="D20" s="49"/>
      <c r="E20" s="50"/>
      <c r="F20" s="54"/>
      <c r="G20" s="53"/>
      <c r="H20" s="53"/>
      <c r="I20" s="69"/>
      <c r="J20" s="51"/>
      <c r="K20" s="52"/>
      <c r="L20" s="52"/>
      <c r="M20" s="50"/>
      <c r="N20" s="54"/>
      <c r="O20" s="53"/>
      <c r="P20" s="53"/>
      <c r="Q20" s="50"/>
      <c r="R20" s="54"/>
      <c r="S20" s="55"/>
    </row>
    <row r="21" ht="12" customHeight="1">
      <c r="B21" s="33"/>
      <c r="C21" s="40"/>
      <c r="D21" s="41"/>
      <c r="E21" s="42"/>
      <c r="F21" s="46"/>
      <c r="G21" s="45"/>
      <c r="H21" s="45"/>
      <c r="I21" s="42"/>
      <c r="J21" s="46"/>
      <c r="K21" s="45"/>
      <c r="L21" s="45"/>
      <c r="M21" s="42"/>
      <c r="N21" s="71"/>
      <c r="O21" s="45"/>
      <c r="P21" s="45"/>
      <c r="Q21" s="42"/>
      <c r="R21" s="46"/>
      <c r="S21" s="47"/>
    </row>
    <row r="22" ht="12" customHeight="1">
      <c r="B22" s="33"/>
      <c r="C22" s="48" t="s">
        <v>44</v>
      </c>
      <c r="D22" s="49"/>
      <c r="E22" s="50"/>
      <c r="F22" s="54"/>
      <c r="G22" s="53"/>
      <c r="H22" s="53"/>
      <c r="I22" s="50"/>
      <c r="J22" s="54"/>
      <c r="K22" s="52"/>
      <c r="L22" s="52"/>
      <c r="M22" s="50"/>
      <c r="N22" s="54"/>
      <c r="O22" s="53"/>
      <c r="P22" s="53"/>
      <c r="Q22" s="50"/>
      <c r="R22" s="54"/>
      <c r="S22" s="55"/>
    </row>
    <row r="23" ht="12" customHeight="1">
      <c r="B23" s="57"/>
      <c r="C23" s="58"/>
      <c r="D23" s="59"/>
      <c r="E23" s="60"/>
      <c r="F23" s="61"/>
      <c r="G23" s="63"/>
      <c r="H23" s="63"/>
      <c r="I23" s="60"/>
      <c r="J23" s="61"/>
      <c r="K23" s="63"/>
      <c r="L23" s="63"/>
      <c r="M23" s="60"/>
      <c r="N23" s="61"/>
      <c r="O23" s="63"/>
      <c r="P23" s="63"/>
      <c r="Q23" s="60"/>
      <c r="R23" s="61"/>
      <c r="S23" s="64"/>
    </row>
    <row r="24" ht="12" customHeight="1">
      <c r="B24" s="21" t="s">
        <v>45</v>
      </c>
      <c r="C24" s="20" t="s">
        <v>46</v>
      </c>
      <c r="D24" s="34"/>
      <c r="E24" s="35"/>
      <c r="F24" s="38"/>
      <c r="G24" s="37"/>
      <c r="H24" s="37"/>
      <c r="I24" s="35"/>
      <c r="J24" s="38"/>
      <c r="K24" s="37"/>
      <c r="L24" s="37"/>
      <c r="M24" s="66"/>
      <c r="N24" s="36"/>
      <c r="O24" s="65"/>
      <c r="P24" s="65"/>
      <c r="Q24" s="35"/>
      <c r="R24" s="38"/>
      <c r="S24" s="39"/>
    </row>
    <row r="25" ht="12" customHeight="1">
      <c r="B25" s="33"/>
      <c r="C25" s="40"/>
      <c r="D25" s="41"/>
      <c r="E25" s="42"/>
      <c r="F25" s="46"/>
      <c r="G25" s="45"/>
      <c r="H25" s="45"/>
      <c r="I25" s="42"/>
      <c r="J25" s="46"/>
      <c r="K25" s="45"/>
      <c r="L25" s="45"/>
      <c r="M25" s="42"/>
      <c r="N25" s="46"/>
      <c r="O25" s="45"/>
      <c r="P25" s="45"/>
      <c r="Q25" s="42"/>
      <c r="R25" s="46"/>
      <c r="S25" s="47"/>
    </row>
    <row r="26" ht="12" customHeight="1">
      <c r="B26" s="33"/>
      <c r="C26" s="48" t="s">
        <v>47</v>
      </c>
      <c r="D26" s="49"/>
      <c r="E26" s="50"/>
      <c r="F26" s="54"/>
      <c r="G26" s="53"/>
      <c r="H26" s="53"/>
      <c r="I26" s="50"/>
      <c r="J26" s="54"/>
      <c r="K26" s="53"/>
      <c r="L26" s="53"/>
      <c r="M26" s="50"/>
      <c r="N26" s="54"/>
      <c r="O26" s="52"/>
      <c r="P26" s="52"/>
      <c r="Q26" s="50"/>
      <c r="R26" s="54"/>
      <c r="S26" s="55"/>
    </row>
    <row r="27" ht="12" customHeight="1">
      <c r="B27" s="33"/>
      <c r="C27" s="40"/>
      <c r="D27" s="41"/>
      <c r="E27" s="42"/>
      <c r="F27" s="46"/>
      <c r="G27" s="45"/>
      <c r="H27" s="45"/>
      <c r="I27" s="42"/>
      <c r="J27" s="46"/>
      <c r="K27" s="45"/>
      <c r="L27" s="45"/>
      <c r="M27" s="42"/>
      <c r="N27" s="46"/>
      <c r="O27" s="45"/>
      <c r="P27" s="45"/>
      <c r="Q27" s="42"/>
      <c r="R27" s="46"/>
      <c r="S27" s="47"/>
    </row>
    <row r="28" ht="12" customHeight="1">
      <c r="B28" s="33"/>
      <c r="C28" s="48" t="s">
        <v>48</v>
      </c>
      <c r="D28" s="49"/>
      <c r="E28" s="50"/>
      <c r="F28" s="54"/>
      <c r="G28" s="53"/>
      <c r="H28" s="53"/>
      <c r="I28" s="50"/>
      <c r="J28" s="54"/>
      <c r="K28" s="53"/>
      <c r="L28" s="53"/>
      <c r="M28" s="50"/>
      <c r="N28" s="54"/>
      <c r="O28" s="53"/>
      <c r="P28" s="52"/>
      <c r="Q28" s="69"/>
      <c r="R28" s="54"/>
      <c r="S28" s="55"/>
    </row>
    <row r="29" ht="12" customHeight="1">
      <c r="B29" s="33"/>
      <c r="C29" s="27"/>
      <c r="D29" s="72"/>
      <c r="E29" s="73"/>
      <c r="F29" s="74"/>
      <c r="G29" s="75"/>
      <c r="H29" s="76"/>
      <c r="I29" s="73"/>
      <c r="J29" s="74"/>
      <c r="K29" s="75"/>
      <c r="L29" s="76"/>
      <c r="M29" s="73"/>
      <c r="N29" s="77"/>
      <c r="O29" s="76"/>
      <c r="P29" s="75"/>
      <c r="Q29" s="73"/>
      <c r="R29" s="74"/>
      <c r="S29" s="78"/>
    </row>
    <row r="30" ht="12" customHeight="1">
      <c r="B30" s="79" t="s">
        <v>11</v>
      </c>
      <c r="C30" s="80" t="s">
        <v>49</v>
      </c>
      <c r="D30" s="34"/>
      <c r="E30" s="81"/>
      <c r="F30" s="82"/>
      <c r="G30" s="82"/>
      <c r="H30" s="83"/>
      <c r="I30" s="84"/>
      <c r="J30" s="82"/>
      <c r="K30" s="82"/>
      <c r="L30" s="83"/>
      <c r="M30" s="84"/>
      <c r="N30" s="82"/>
      <c r="O30" s="83"/>
      <c r="P30" s="82"/>
      <c r="Q30" s="84"/>
      <c r="R30" s="82"/>
      <c r="S30" s="85"/>
    </row>
    <row r="31" ht="12" customHeight="1">
      <c r="B31" s="86"/>
      <c r="C31" s="87"/>
      <c r="D31" s="41"/>
      <c r="E31" s="88"/>
      <c r="F31" s="89"/>
      <c r="G31" s="89"/>
      <c r="H31" s="90"/>
      <c r="I31" s="91"/>
      <c r="J31" s="89"/>
      <c r="K31" s="92"/>
      <c r="L31" s="90"/>
      <c r="M31" s="91"/>
      <c r="N31" s="89"/>
      <c r="O31" s="90"/>
      <c r="P31" s="89"/>
      <c r="Q31" s="91"/>
      <c r="R31" s="89"/>
      <c r="S31" s="47"/>
    </row>
    <row r="32" ht="12" customHeight="1">
      <c r="B32" s="86"/>
      <c r="C32" s="87" t="s">
        <v>11</v>
      </c>
      <c r="D32" s="49"/>
      <c r="E32" s="93"/>
      <c r="F32" s="94"/>
      <c r="G32" s="94"/>
      <c r="H32" s="95"/>
      <c r="I32" s="96"/>
      <c r="J32" s="94"/>
      <c r="K32" s="94"/>
      <c r="L32" s="95"/>
      <c r="M32" s="96"/>
      <c r="N32" s="94"/>
      <c r="O32" s="95"/>
      <c r="P32" s="94"/>
      <c r="Q32" s="96"/>
      <c r="R32" s="94"/>
      <c r="S32" s="97"/>
    </row>
    <row r="33" ht="12" customHeight="1">
      <c r="B33" s="86"/>
      <c r="C33" s="87"/>
      <c r="D33" s="41"/>
      <c r="E33" s="88"/>
      <c r="F33" s="92"/>
      <c r="G33" s="89"/>
      <c r="H33" s="98"/>
      <c r="I33" s="99"/>
      <c r="J33" s="89"/>
      <c r="K33" s="92"/>
      <c r="L33" s="90"/>
      <c r="M33" s="91"/>
      <c r="N33" s="89"/>
      <c r="O33" s="90"/>
      <c r="P33" s="89"/>
      <c r="Q33" s="91"/>
      <c r="R33" s="89"/>
      <c r="S33" s="47"/>
    </row>
    <row r="34" ht="12" customHeight="1">
      <c r="B34" s="86"/>
      <c r="C34" s="40" t="s">
        <v>50</v>
      </c>
      <c r="D34" s="72"/>
      <c r="E34" s="100"/>
      <c r="F34" s="101"/>
      <c r="G34" s="101"/>
      <c r="H34" s="102"/>
      <c r="I34" s="103"/>
      <c r="J34" s="101"/>
      <c r="K34" s="101"/>
      <c r="L34" s="102"/>
      <c r="M34" s="103"/>
      <c r="N34" s="101"/>
      <c r="O34" s="102"/>
      <c r="P34" s="101"/>
      <c r="Q34" s="103"/>
      <c r="R34" s="101"/>
      <c r="S34" s="104"/>
      <c r="U34" s="105"/>
      <c r="V34" s="106" t="s">
        <v>51</v>
      </c>
    </row>
    <row r="35" ht="13.800000000000001" customHeight="1">
      <c r="B35" s="107"/>
      <c r="C35" s="108"/>
      <c r="D35" s="59"/>
      <c r="E35" s="109"/>
      <c r="F35" s="110"/>
      <c r="G35" s="110"/>
      <c r="H35" s="111"/>
      <c r="I35" s="112"/>
      <c r="J35" s="110"/>
      <c r="K35" s="110"/>
      <c r="L35" s="111"/>
      <c r="M35" s="112"/>
      <c r="N35" s="110"/>
      <c r="O35" s="111"/>
      <c r="P35" s="110"/>
      <c r="Q35" s="112"/>
      <c r="R35" s="110"/>
      <c r="S35" s="64"/>
      <c r="U35" s="113"/>
      <c r="V35" s="114" t="s">
        <v>52</v>
      </c>
    </row>
  </sheetData>
  <mergeCells count="28">
    <mergeCell ref="B2:B3"/>
    <mergeCell ref="C2:C3"/>
    <mergeCell ref="F2:I2"/>
    <mergeCell ref="J2:M2"/>
    <mergeCell ref="N2:Q2"/>
    <mergeCell ref="R2:S2"/>
    <mergeCell ref="B4:B11"/>
    <mergeCell ref="C4:C5"/>
    <mergeCell ref="C6:C7"/>
    <mergeCell ref="U6:V6"/>
    <mergeCell ref="C8:C9"/>
    <mergeCell ref="C10:C11"/>
    <mergeCell ref="B12:B17"/>
    <mergeCell ref="C12:C13"/>
    <mergeCell ref="C14:C15"/>
    <mergeCell ref="C16:C17"/>
    <mergeCell ref="B18:B23"/>
    <mergeCell ref="C18:C19"/>
    <mergeCell ref="C20:C21"/>
    <mergeCell ref="C22:C23"/>
    <mergeCell ref="B24:B29"/>
    <mergeCell ref="C24:C25"/>
    <mergeCell ref="C26:C27"/>
    <mergeCell ref="C28:C29"/>
    <mergeCell ref="B30:B35"/>
    <mergeCell ref="C30:C31"/>
    <mergeCell ref="C32:C33"/>
    <mergeCell ref="C34:C35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5" activeCellId="0" sqref="C15"/>
    </sheetView>
  </sheetViews>
  <sheetFormatPr baseColWidth="10" defaultRowHeight="14.25"/>
  <cols>
    <col min="3" max="3" style="115" width="11.5546875"/>
  </cols>
  <sheetData>
    <row r="1">
      <c r="A1" t="s">
        <v>0</v>
      </c>
      <c r="B1" t="s">
        <v>4</v>
      </c>
      <c r="C1" s="115" t="s">
        <v>53</v>
      </c>
    </row>
    <row r="2">
      <c r="A2" s="116">
        <f t="array" ref="A2:A11">_xlfn.UNIQUE(Journal[date])</f>
        <v>45958</v>
      </c>
      <c r="B2" s="117">
        <f t="shared" ref="B2:B65" si="0">IF(C2&gt;0,C2,"")</f>
        <v>0.16666666666666666</v>
      </c>
      <c r="C2" s="118">
        <f>SUMIF(Journal[date],SommeParJours!A2,Journal[Temps])</f>
        <v>0.16666666666666666</v>
      </c>
    </row>
    <row r="3">
      <c r="A3" s="116">
        <f/>
        <v>45965</v>
      </c>
      <c r="B3" s="117">
        <f t="shared" si="0"/>
        <v>0.125</v>
      </c>
      <c r="C3" s="118">
        <f>SUMIF(Journal[date],SommeParJours!A3,Journal[Temps])</f>
        <v>0.125</v>
      </c>
    </row>
    <row r="4">
      <c r="A4" s="116">
        <f/>
        <v>45972</v>
      </c>
      <c r="B4" s="117">
        <f t="shared" si="0"/>
        <v>0.35416666666666663</v>
      </c>
      <c r="C4" s="118">
        <f>SUMIF(Journal[date],SommeParJours!A4,Journal[Temps])</f>
        <v>0.35416666666666663</v>
      </c>
    </row>
    <row r="5">
      <c r="A5" s="116">
        <f/>
        <v>45974</v>
      </c>
      <c r="B5" s="117">
        <f t="shared" si="0"/>
        <v>0.0625</v>
      </c>
      <c r="C5" s="118">
        <f>SUMIF(Journal[date],SommeParJours!A5,Journal[Temps])</f>
        <v>0.0625</v>
      </c>
    </row>
    <row r="6">
      <c r="A6" s="116">
        <f/>
        <v>45979</v>
      </c>
      <c r="B6" s="117">
        <f t="shared" si="0"/>
        <v>0.16666666666666666</v>
      </c>
      <c r="C6" s="118">
        <f>SUMIF(Journal[date],SommeParJours!A6,Journal[Temps])</f>
        <v>0.16666666666666666</v>
      </c>
    </row>
    <row r="7">
      <c r="A7" s="116">
        <f/>
        <v>45986</v>
      </c>
      <c r="B7" s="117">
        <f t="shared" si="0"/>
        <v>0.16666666666666666</v>
      </c>
      <c r="C7" s="118">
        <f>SUMIF(Journal[date],SommeParJours!A7,Journal[Temps])</f>
        <v>0.16666666666666666</v>
      </c>
    </row>
    <row r="8">
      <c r="A8" s="116">
        <f/>
        <v>45993</v>
      </c>
      <c r="B8" s="117">
        <f t="shared" si="0"/>
        <v>0.16666666666666666</v>
      </c>
      <c r="C8" s="118">
        <f>SUMIF(Journal[date],SommeParJours!A8,Journal[Temps])</f>
        <v>0.16666666666666666</v>
      </c>
    </row>
    <row r="9">
      <c r="A9" s="116">
        <f/>
        <v>45995</v>
      </c>
      <c r="B9" s="117">
        <f t="shared" si="0"/>
        <v>0.16666666666666666</v>
      </c>
      <c r="C9" s="118">
        <f>SUMIF(Journal[date],SommeParJours!A9,Journal[Temps])</f>
        <v>0.16666666666666666</v>
      </c>
    </row>
    <row r="10">
      <c r="A10" s="116">
        <f/>
        <v>46000</v>
      </c>
      <c r="B10" s="117">
        <f t="shared" si="0"/>
        <v>0.16666666666666666</v>
      </c>
      <c r="C10" s="118">
        <f>SUMIF(Journal[date],SommeParJours!A10,Journal[Temps])</f>
        <v>0.16666666666666666</v>
      </c>
    </row>
    <row r="11">
      <c r="A11" s="116">
        <f/>
        <v>46007</v>
      </c>
      <c r="B11" s="117">
        <f t="shared" si="0"/>
        <v>0.25</v>
      </c>
      <c r="C11" s="118">
        <f>SUMIF(Journal[date],SommeParJours!A11,Journal[Temps])</f>
        <v>0.25</v>
      </c>
    </row>
    <row r="12">
      <c r="A12" s="116"/>
      <c r="B12" s="117" t="str">
        <f t="shared" si="0"/>
        <v/>
      </c>
      <c r="C12" s="118">
        <f>SUMIF(Journal[date],SommeParJours!A12,Journal[Temps])</f>
        <v>0</v>
      </c>
    </row>
    <row r="13">
      <c r="A13" s="116"/>
      <c r="B13" s="117" t="str">
        <f t="shared" si="0"/>
        <v/>
      </c>
      <c r="C13" s="118">
        <f>SUMIF(Journal[date],SommeParJours!A13,Journal[Temps])</f>
        <v>0</v>
      </c>
    </row>
    <row r="14">
      <c r="A14" s="116"/>
      <c r="B14" s="117" t="str">
        <f t="shared" si="0"/>
        <v/>
      </c>
      <c r="C14" s="118">
        <f>SUMIF(Journal[date],SommeParJours!A14,Journal[Temps])</f>
        <v>0</v>
      </c>
    </row>
    <row r="15">
      <c r="A15" s="116"/>
      <c r="B15" s="117" t="str">
        <f t="shared" si="0"/>
        <v/>
      </c>
      <c r="C15" s="118">
        <f>SUMIF(Journal[date],SommeParJours!A15,Journal[Temps])</f>
        <v>0</v>
      </c>
    </row>
    <row r="16">
      <c r="A16" s="116"/>
      <c r="B16" s="117" t="str">
        <f t="shared" si="0"/>
        <v/>
      </c>
      <c r="C16" s="118">
        <f>SUMIF(Journal[date],SommeParJours!A16,Journal[Temps])</f>
        <v>0</v>
      </c>
    </row>
    <row r="17">
      <c r="A17" s="116"/>
      <c r="B17" s="117" t="str">
        <f t="shared" si="0"/>
        <v/>
      </c>
      <c r="C17" s="118">
        <f>SUMIF(Journal[date],SommeParJours!A17,Journal[Temps])</f>
        <v>0</v>
      </c>
    </row>
    <row r="18">
      <c r="A18" s="116"/>
      <c r="B18" s="117" t="str">
        <f t="shared" si="0"/>
        <v/>
      </c>
      <c r="C18" s="118">
        <f>SUMIF(Journal[date],SommeParJours!A18,Journal[Temps])</f>
        <v>0</v>
      </c>
    </row>
    <row r="19">
      <c r="A19" s="116"/>
      <c r="B19" s="117" t="str">
        <f t="shared" si="0"/>
        <v/>
      </c>
      <c r="C19" s="118">
        <f>SUMIF(Journal[date],SommeParJours!A19,Journal[Temps])</f>
        <v>0</v>
      </c>
    </row>
    <row r="20">
      <c r="A20" s="116"/>
      <c r="B20" s="117" t="str">
        <f t="shared" si="0"/>
        <v/>
      </c>
      <c r="C20" s="118">
        <f>SUMIF(Journal[date],SommeParJours!A20,Journal[Temps])</f>
        <v>0</v>
      </c>
    </row>
    <row r="21">
      <c r="A21" s="116"/>
      <c r="B21" s="117" t="str">
        <f t="shared" si="0"/>
        <v/>
      </c>
      <c r="C21" s="118">
        <f>SUMIF(Journal[date],SommeParJours!A21,Journal[Temps])</f>
        <v>0</v>
      </c>
    </row>
    <row r="22">
      <c r="A22" s="116"/>
      <c r="B22" s="117" t="str">
        <f t="shared" si="0"/>
        <v/>
      </c>
      <c r="C22" s="118">
        <f>SUMIF(Journal[date],SommeParJours!A22,Journal[Temps])</f>
        <v>0</v>
      </c>
    </row>
    <row r="23">
      <c r="A23" s="116"/>
      <c r="B23" s="117" t="str">
        <f t="shared" si="0"/>
        <v/>
      </c>
      <c r="C23" s="118">
        <f>SUMIF(Journal[date],SommeParJours!A23,Journal[Temps])</f>
        <v>0</v>
      </c>
    </row>
    <row r="24">
      <c r="A24" s="116"/>
      <c r="B24" s="117" t="str">
        <f t="shared" si="0"/>
        <v/>
      </c>
      <c r="C24" s="118">
        <f>SUMIF(Journal[date],SommeParJours!A24,Journal[Temps])</f>
        <v>0</v>
      </c>
    </row>
    <row r="25">
      <c r="A25" s="116"/>
      <c r="B25" s="117" t="str">
        <f t="shared" si="0"/>
        <v/>
      </c>
      <c r="C25" s="118">
        <f>SUMIF(Journal[date],SommeParJours!A25,Journal[Temps])</f>
        <v>0</v>
      </c>
    </row>
    <row r="26">
      <c r="A26" s="116"/>
      <c r="B26" s="117" t="str">
        <f t="shared" si="0"/>
        <v/>
      </c>
      <c r="C26" s="118">
        <f>SUMIF(Journal[date],SommeParJours!A26,Journal[Temps])</f>
        <v>0</v>
      </c>
    </row>
    <row r="27">
      <c r="A27" s="116"/>
      <c r="B27" s="117" t="str">
        <f t="shared" si="0"/>
        <v/>
      </c>
      <c r="C27" s="118">
        <f>SUMIF(Journal[date],SommeParJours!A27,Journal[Temps])</f>
        <v>0</v>
      </c>
    </row>
    <row r="28">
      <c r="A28" s="116"/>
      <c r="B28" s="117" t="str">
        <f t="shared" si="0"/>
        <v/>
      </c>
      <c r="C28" s="118">
        <f>SUMIF(Journal[date],SommeParJours!A28,Journal[Temps])</f>
        <v>0</v>
      </c>
    </row>
    <row r="29">
      <c r="A29" s="116"/>
      <c r="B29" s="117" t="str">
        <f t="shared" si="0"/>
        <v/>
      </c>
      <c r="C29" s="118">
        <f>SUMIF(Journal[date],SommeParJours!A29,Journal[Temps])</f>
        <v>0</v>
      </c>
    </row>
    <row r="30">
      <c r="A30" s="116"/>
      <c r="B30" s="117" t="str">
        <f t="shared" si="0"/>
        <v/>
      </c>
      <c r="C30" s="118">
        <f>SUMIF(Journal[date],SommeParJours!A30,Journal[Temps])</f>
        <v>0</v>
      </c>
    </row>
    <row r="31">
      <c r="A31" s="116"/>
      <c r="B31" s="117" t="str">
        <f t="shared" si="0"/>
        <v/>
      </c>
      <c r="C31" s="118">
        <f>SUMIF(Journal[date],SommeParJours!A31,Journal[Temps])</f>
        <v>0</v>
      </c>
    </row>
    <row r="32">
      <c r="A32" s="116"/>
      <c r="B32" s="117" t="str">
        <f t="shared" si="0"/>
        <v/>
      </c>
      <c r="C32" s="118">
        <f>SUMIF(Journal[date],SommeParJours!A32,Journal[Temps])</f>
        <v>0</v>
      </c>
    </row>
    <row r="33">
      <c r="A33" s="116"/>
      <c r="B33" s="117" t="str">
        <f t="shared" si="0"/>
        <v/>
      </c>
      <c r="C33" s="118">
        <f>SUMIF(Journal[date],SommeParJours!A33,Journal[Temps])</f>
        <v>0</v>
      </c>
    </row>
    <row r="34">
      <c r="A34" s="116"/>
      <c r="B34" s="117" t="str">
        <f t="shared" si="0"/>
        <v/>
      </c>
      <c r="C34" s="118">
        <f>SUMIF(Journal[date],SommeParJours!A34,Journal[Temps])</f>
        <v>0</v>
      </c>
    </row>
    <row r="35">
      <c r="A35" s="116"/>
      <c r="B35" s="117" t="str">
        <f t="shared" si="0"/>
        <v/>
      </c>
      <c r="C35" s="118">
        <f>SUMIF(Journal[date],SommeParJours!A35,Journal[Temps])</f>
        <v>0</v>
      </c>
    </row>
    <row r="36">
      <c r="A36" s="116"/>
      <c r="B36" s="117" t="str">
        <f t="shared" si="0"/>
        <v/>
      </c>
      <c r="C36" s="118">
        <f>SUMIF(Journal[date],SommeParJours!A36,Journal[Temps])</f>
        <v>0</v>
      </c>
    </row>
    <row r="37">
      <c r="A37" s="116"/>
      <c r="B37" s="117" t="str">
        <f t="shared" si="0"/>
        <v/>
      </c>
      <c r="C37" s="118">
        <f>SUMIF(Journal[date],SommeParJours!A37,Journal[Temps])</f>
        <v>0</v>
      </c>
    </row>
    <row r="38">
      <c r="A38" s="116"/>
      <c r="B38" s="117" t="str">
        <f t="shared" si="0"/>
        <v/>
      </c>
      <c r="C38" s="118">
        <f>SUMIF(Journal[date],SommeParJours!A38,Journal[Temps])</f>
        <v>0</v>
      </c>
    </row>
    <row r="39">
      <c r="A39" s="119"/>
      <c r="B39" s="117" t="str">
        <f t="shared" si="0"/>
        <v/>
      </c>
      <c r="C39" s="118">
        <f>SUMIF(Journal[date],SommeParJours!A39,Journal[Temps])</f>
        <v>0</v>
      </c>
    </row>
    <row r="40">
      <c r="A40" s="119"/>
      <c r="B40" s="117" t="str">
        <f t="shared" si="0"/>
        <v/>
      </c>
      <c r="C40" s="118">
        <f>SUMIF(Journal[date],SommeParJours!A40,Journal[Temps])</f>
        <v>0</v>
      </c>
    </row>
    <row r="41">
      <c r="A41" s="119"/>
      <c r="B41" s="117" t="str">
        <f t="shared" si="0"/>
        <v/>
      </c>
      <c r="C41" s="118">
        <f>SUMIF(Journal[date],SommeParJours!A41,Journal[Temps])</f>
        <v>0</v>
      </c>
    </row>
    <row r="42">
      <c r="A42" s="119"/>
      <c r="B42" s="117" t="str">
        <f t="shared" si="0"/>
        <v/>
      </c>
      <c r="C42" s="118">
        <f>SUMIF(Journal[date],SommeParJours!A42,Journal[Temps])</f>
        <v>0</v>
      </c>
    </row>
    <row r="43">
      <c r="A43" s="119"/>
      <c r="B43" s="117" t="str">
        <f t="shared" si="0"/>
        <v/>
      </c>
      <c r="C43" s="118">
        <f>SUMIF(Journal[date],SommeParJours!A43,Journal[Temps])</f>
        <v>0</v>
      </c>
    </row>
    <row r="44">
      <c r="A44" s="119"/>
      <c r="B44" s="117" t="str">
        <f t="shared" si="0"/>
        <v/>
      </c>
      <c r="C44" s="118">
        <f>SUMIF(Journal[date],SommeParJours!A44,Journal[Temps])</f>
        <v>0</v>
      </c>
    </row>
    <row r="45">
      <c r="A45" s="119"/>
      <c r="B45" s="117" t="str">
        <f t="shared" si="0"/>
        <v/>
      </c>
      <c r="C45" s="118">
        <f>SUMIF(Journal[date],SommeParJours!A45,Journal[Temps])</f>
        <v>0</v>
      </c>
    </row>
    <row r="46">
      <c r="A46" s="119"/>
      <c r="B46" s="117" t="str">
        <f t="shared" si="0"/>
        <v/>
      </c>
      <c r="C46" s="118">
        <f>SUMIF(Journal[date],SommeParJours!A46,Journal[Temps])</f>
        <v>0</v>
      </c>
    </row>
    <row r="47">
      <c r="A47" s="119"/>
      <c r="B47" s="117" t="str">
        <f t="shared" si="0"/>
        <v/>
      </c>
      <c r="C47" s="118">
        <f>SUMIF(Journal[date],SommeParJours!A47,Journal[Temps])</f>
        <v>0</v>
      </c>
    </row>
    <row r="48">
      <c r="A48" s="119"/>
      <c r="B48" s="117" t="str">
        <f t="shared" si="0"/>
        <v/>
      </c>
      <c r="C48" s="118">
        <f>SUMIF(Journal[date],SommeParJours!A48,Journal[Temps])</f>
        <v>0</v>
      </c>
    </row>
    <row r="49">
      <c r="A49" s="119"/>
      <c r="B49" s="117" t="str">
        <f t="shared" si="0"/>
        <v/>
      </c>
      <c r="C49" s="118">
        <f>SUMIF(Journal[date],SommeParJours!A49,Journal[Temps])</f>
        <v>0</v>
      </c>
    </row>
    <row r="50">
      <c r="A50" s="119"/>
      <c r="B50" s="117" t="str">
        <f t="shared" si="0"/>
        <v/>
      </c>
      <c r="C50" s="118">
        <f>SUMIF(Journal[date],SommeParJours!A50,Journal[Temps])</f>
        <v>0</v>
      </c>
    </row>
    <row r="51">
      <c r="A51" s="119"/>
      <c r="B51" s="117" t="str">
        <f t="shared" si="0"/>
        <v/>
      </c>
      <c r="C51" s="118">
        <f>SUMIF(Journal[date],SommeParJours!A51,Journal[Temps])</f>
        <v>0</v>
      </c>
    </row>
    <row r="52">
      <c r="A52" s="119"/>
      <c r="B52" s="117" t="str">
        <f t="shared" si="0"/>
        <v/>
      </c>
      <c r="C52" s="118">
        <f>SUMIF(Journal[date],SommeParJours!A52,Journal[Temps])</f>
        <v>0</v>
      </c>
    </row>
    <row r="53">
      <c r="A53" s="119"/>
      <c r="B53" s="117" t="str">
        <f t="shared" si="0"/>
        <v/>
      </c>
      <c r="C53" s="118">
        <f>SUMIF(Journal[date],SommeParJours!A53,Journal[Temps])</f>
        <v>0</v>
      </c>
    </row>
    <row r="54">
      <c r="A54" s="119"/>
      <c r="B54" s="117" t="str">
        <f t="shared" si="0"/>
        <v/>
      </c>
      <c r="C54" s="118">
        <f>SUMIF(Journal[date],SommeParJours!A54,Journal[Temps])</f>
        <v>0</v>
      </c>
    </row>
    <row r="55">
      <c r="A55" s="119"/>
      <c r="B55" s="117" t="str">
        <f t="shared" si="0"/>
        <v/>
      </c>
      <c r="C55" s="118">
        <f>SUMIF(Journal[date],SommeParJours!A55,Journal[Temps])</f>
        <v>0</v>
      </c>
    </row>
    <row r="56">
      <c r="A56" s="119"/>
      <c r="B56" s="117" t="str">
        <f t="shared" si="0"/>
        <v/>
      </c>
      <c r="C56" s="118">
        <f>SUMIF(Journal[date],SommeParJours!A56,Journal[Temps])</f>
        <v>0</v>
      </c>
    </row>
    <row r="57">
      <c r="A57" s="119"/>
      <c r="B57" s="117" t="str">
        <f t="shared" si="0"/>
        <v/>
      </c>
      <c r="C57" s="118">
        <f>SUMIF(Journal[date],SommeParJours!A57,Journal[Temps])</f>
        <v>0</v>
      </c>
    </row>
    <row r="58">
      <c r="A58" s="119"/>
      <c r="B58" s="117" t="str">
        <f t="shared" si="0"/>
        <v/>
      </c>
      <c r="C58" s="118">
        <f>SUMIF(Journal[date],SommeParJours!A58,Journal[Temps])</f>
        <v>0</v>
      </c>
    </row>
    <row r="59">
      <c r="A59" s="119"/>
      <c r="B59" s="117" t="str">
        <f t="shared" si="0"/>
        <v/>
      </c>
      <c r="C59" s="118">
        <f>SUMIF(Journal[date],SommeParJours!A59,Journal[Temps])</f>
        <v>0</v>
      </c>
    </row>
    <row r="60">
      <c r="A60" s="119"/>
      <c r="B60" s="117" t="str">
        <f t="shared" si="0"/>
        <v/>
      </c>
      <c r="C60" s="118">
        <f>SUMIF(Journal[date],SommeParJours!A60,Journal[Temps])</f>
        <v>0</v>
      </c>
    </row>
    <row r="61">
      <c r="A61" s="119"/>
      <c r="B61" s="117" t="str">
        <f t="shared" si="0"/>
        <v/>
      </c>
      <c r="C61" s="118">
        <f>SUMIF(Journal[date],SommeParJours!A61,Journal[Temps])</f>
        <v>0</v>
      </c>
    </row>
    <row r="62">
      <c r="A62" s="119"/>
      <c r="B62" s="117" t="str">
        <f t="shared" si="0"/>
        <v/>
      </c>
      <c r="C62" s="118">
        <f>SUMIF(Journal[date],SommeParJours!A62,Journal[Temps])</f>
        <v>0</v>
      </c>
    </row>
    <row r="63">
      <c r="A63" s="119"/>
      <c r="B63" s="117" t="str">
        <f t="shared" si="0"/>
        <v/>
      </c>
      <c r="C63" s="118">
        <f>SUMIF(Journal[date],SommeParJours!A63,Journal[Temps])</f>
        <v>0</v>
      </c>
    </row>
    <row r="64">
      <c r="A64" s="119"/>
      <c r="B64" s="117" t="str">
        <f t="shared" si="0"/>
        <v/>
      </c>
      <c r="C64" s="118">
        <f>SUMIF(Journal[date],SommeParJours!A64,Journal[Temps])</f>
        <v>0</v>
      </c>
    </row>
    <row r="65">
      <c r="A65" s="119"/>
      <c r="B65" s="117" t="str">
        <f t="shared" si="0"/>
        <v/>
      </c>
      <c r="C65" s="118">
        <f>SUMIF(Journal[date],SommeParJours!A65,Journal[Temps])</f>
        <v>0</v>
      </c>
    </row>
    <row r="66">
      <c r="A66" s="119"/>
      <c r="B66" s="117" t="str">
        <f t="shared" ref="B66:B114" si="1">IF(C66&gt;0,C66,"")</f>
        <v/>
      </c>
      <c r="C66" s="118">
        <f>SUMIF(Journal[date],SommeParJours!A66,Journal[Temps])</f>
        <v>0</v>
      </c>
    </row>
    <row r="67">
      <c r="A67" s="119"/>
      <c r="B67" s="117" t="str">
        <f t="shared" si="1"/>
        <v/>
      </c>
      <c r="C67" s="118">
        <f>SUMIF(Journal[date],SommeParJours!A67,Journal[Temps])</f>
        <v>0</v>
      </c>
    </row>
    <row r="68">
      <c r="A68" s="119"/>
      <c r="B68" s="117" t="str">
        <f t="shared" si="1"/>
        <v/>
      </c>
      <c r="C68" s="118">
        <f>SUMIF(Journal[date],SommeParJours!A68,Journal[Temps])</f>
        <v>0</v>
      </c>
    </row>
    <row r="69">
      <c r="A69" s="119"/>
      <c r="B69" s="117" t="str">
        <f t="shared" si="1"/>
        <v/>
      </c>
      <c r="C69" s="118">
        <f>SUMIF(Journal[date],SommeParJours!A69,Journal[Temps])</f>
        <v>0</v>
      </c>
    </row>
    <row r="70">
      <c r="A70" s="119"/>
      <c r="B70" s="117" t="str">
        <f t="shared" si="1"/>
        <v/>
      </c>
      <c r="C70" s="118">
        <f>SUMIF(Journal[date],SommeParJours!A70,Journal[Temps])</f>
        <v>0</v>
      </c>
    </row>
    <row r="71">
      <c r="A71" s="119"/>
      <c r="B71" s="117" t="str">
        <f t="shared" si="1"/>
        <v/>
      </c>
      <c r="C71" s="118">
        <f>SUMIF(Journal[date],SommeParJours!A71,Journal[Temps])</f>
        <v>0</v>
      </c>
    </row>
    <row r="72">
      <c r="A72" s="119"/>
      <c r="B72" s="117" t="str">
        <f t="shared" si="1"/>
        <v/>
      </c>
      <c r="C72" s="118">
        <f>SUMIF(Journal[date],SommeParJours!A72,Journal[Temps])</f>
        <v>0</v>
      </c>
    </row>
    <row r="73">
      <c r="A73" s="119"/>
      <c r="B73" s="117" t="str">
        <f t="shared" si="1"/>
        <v/>
      </c>
      <c r="C73" s="118">
        <f>SUMIF(Journal[date],SommeParJours!A73,Journal[Temps])</f>
        <v>0</v>
      </c>
    </row>
    <row r="74">
      <c r="A74" s="119"/>
      <c r="B74" s="117" t="str">
        <f t="shared" si="1"/>
        <v/>
      </c>
      <c r="C74" s="118">
        <f>SUMIF(Journal[date],SommeParJours!A74,Journal[Temps])</f>
        <v>0</v>
      </c>
    </row>
    <row r="75">
      <c r="A75" s="119"/>
      <c r="B75" s="117" t="str">
        <f t="shared" si="1"/>
        <v/>
      </c>
      <c r="C75" s="118">
        <f>SUMIF(Journal[date],SommeParJours!A75,Journal[Temps])</f>
        <v>0</v>
      </c>
    </row>
    <row r="76">
      <c r="A76" s="119"/>
      <c r="B76" s="117" t="str">
        <f t="shared" si="1"/>
        <v/>
      </c>
      <c r="C76" s="118">
        <f>SUMIF(Journal[date],SommeParJours!A76,Journal[Temps])</f>
        <v>0</v>
      </c>
    </row>
    <row r="77">
      <c r="A77" s="119"/>
      <c r="B77" s="117" t="str">
        <f t="shared" si="1"/>
        <v/>
      </c>
      <c r="C77" s="118">
        <f>SUMIF(Journal[date],SommeParJours!A77,Journal[Temps])</f>
        <v>0</v>
      </c>
    </row>
    <row r="78">
      <c r="A78" s="119"/>
      <c r="B78" s="117" t="str">
        <f t="shared" si="1"/>
        <v/>
      </c>
      <c r="C78" s="118">
        <f>SUMIF(Journal[date],SommeParJours!A78,Journal[Temps])</f>
        <v>0</v>
      </c>
    </row>
    <row r="79">
      <c r="A79" s="119"/>
      <c r="B79" s="117" t="str">
        <f t="shared" si="1"/>
        <v/>
      </c>
      <c r="C79" s="118">
        <f>SUMIF(Journal[date],SommeParJours!A79,Journal[Temps])</f>
        <v>0</v>
      </c>
    </row>
    <row r="80">
      <c r="A80" s="119"/>
      <c r="B80" s="117" t="str">
        <f t="shared" si="1"/>
        <v/>
      </c>
      <c r="C80" s="118">
        <f>SUMIF(Journal[date],SommeParJours!A80,Journal[Temps])</f>
        <v>0</v>
      </c>
    </row>
    <row r="81">
      <c r="A81" s="119"/>
      <c r="B81" s="117" t="str">
        <f t="shared" si="1"/>
        <v/>
      </c>
      <c r="C81" s="118">
        <f>SUMIF(Journal[date],SommeParJours!A81,Journal[Temps])</f>
        <v>0</v>
      </c>
    </row>
    <row r="82">
      <c r="A82" s="119"/>
      <c r="B82" s="117" t="str">
        <f t="shared" si="1"/>
        <v/>
      </c>
      <c r="C82" s="118">
        <f>SUMIF(Journal[date],SommeParJours!A82,Journal[Temps])</f>
        <v>0</v>
      </c>
    </row>
    <row r="83">
      <c r="A83" s="119"/>
      <c r="B83" s="117" t="str">
        <f t="shared" si="1"/>
        <v/>
      </c>
      <c r="C83" s="118">
        <f>SUMIF(Journal[date],SommeParJours!A83,Journal[Temps])</f>
        <v>0</v>
      </c>
    </row>
    <row r="84">
      <c r="A84" s="119"/>
      <c r="B84" s="117" t="str">
        <f t="shared" si="1"/>
        <v/>
      </c>
      <c r="C84" s="118">
        <f>SUMIF(Journal[date],SommeParJours!A84,Journal[Temps])</f>
        <v>0</v>
      </c>
    </row>
    <row r="85">
      <c r="A85" s="119"/>
      <c r="B85" s="117" t="str">
        <f t="shared" si="1"/>
        <v/>
      </c>
      <c r="C85" s="118">
        <f>SUMIF(Journal[date],SommeParJours!A85,Journal[Temps])</f>
        <v>0</v>
      </c>
    </row>
    <row r="86">
      <c r="A86" s="119"/>
      <c r="B86" s="117" t="str">
        <f t="shared" si="1"/>
        <v/>
      </c>
      <c r="C86" s="118">
        <f>SUMIF(Journal[date],SommeParJours!A86,Journal[Temps])</f>
        <v>0</v>
      </c>
    </row>
    <row r="87">
      <c r="A87" s="119"/>
      <c r="B87" s="117" t="str">
        <f t="shared" si="1"/>
        <v/>
      </c>
      <c r="C87" s="118">
        <f>SUMIF(Journal[date],SommeParJours!A87,Journal[Temps])</f>
        <v>0</v>
      </c>
    </row>
    <row r="88">
      <c r="A88" s="119"/>
      <c r="B88" s="117" t="str">
        <f t="shared" si="1"/>
        <v/>
      </c>
      <c r="C88" s="118">
        <f>SUMIF(Journal[date],SommeParJours!A88,Journal[Temps])</f>
        <v>0</v>
      </c>
    </row>
    <row r="89">
      <c r="A89" s="119"/>
      <c r="B89" s="117" t="str">
        <f t="shared" si="1"/>
        <v/>
      </c>
      <c r="C89" s="118">
        <f>SUMIF(Journal[date],SommeParJours!A89,Journal[Temps])</f>
        <v>0</v>
      </c>
    </row>
    <row r="90">
      <c r="A90" s="119"/>
      <c r="B90" s="117" t="str">
        <f t="shared" si="1"/>
        <v/>
      </c>
      <c r="C90" s="118">
        <f>SUMIF(Journal[date],SommeParJours!A90,Journal[Temps])</f>
        <v>0</v>
      </c>
    </row>
    <row r="91">
      <c r="A91" s="119"/>
      <c r="B91" s="117" t="str">
        <f t="shared" si="1"/>
        <v/>
      </c>
      <c r="C91" s="118">
        <f>SUMIF(Journal[date],SommeParJours!A91,Journal[Temps])</f>
        <v>0</v>
      </c>
    </row>
    <row r="92">
      <c r="A92" s="119"/>
      <c r="B92" s="117" t="str">
        <f t="shared" si="1"/>
        <v/>
      </c>
      <c r="C92" s="118">
        <f>SUMIF(Journal[date],SommeParJours!A92,Journal[Temps])</f>
        <v>0</v>
      </c>
    </row>
    <row r="93">
      <c r="A93" s="119"/>
      <c r="B93" s="117" t="str">
        <f t="shared" si="1"/>
        <v/>
      </c>
      <c r="C93" s="118">
        <f>SUMIF(Journal[date],SommeParJours!A93,Journal[Temps])</f>
        <v>0</v>
      </c>
    </row>
    <row r="94">
      <c r="A94" s="119"/>
      <c r="B94" s="117" t="str">
        <f t="shared" si="1"/>
        <v/>
      </c>
      <c r="C94" s="118">
        <f>SUMIF(Journal[date],SommeParJours!A94,Journal[Temps])</f>
        <v>0</v>
      </c>
    </row>
    <row r="95">
      <c r="A95" s="119"/>
      <c r="B95" s="117" t="str">
        <f t="shared" si="1"/>
        <v/>
      </c>
      <c r="C95" s="118">
        <f>SUMIF(Journal[date],SommeParJours!A95,Journal[Temps])</f>
        <v>0</v>
      </c>
    </row>
    <row r="96">
      <c r="A96" s="119"/>
      <c r="B96" s="117" t="str">
        <f t="shared" si="1"/>
        <v/>
      </c>
      <c r="C96" s="118">
        <f>SUMIF(Journal[date],SommeParJours!A96,Journal[Temps])</f>
        <v>0</v>
      </c>
    </row>
    <row r="97">
      <c r="A97" s="119"/>
      <c r="B97" s="117" t="str">
        <f t="shared" si="1"/>
        <v/>
      </c>
      <c r="C97" s="118">
        <f>SUMIF(Journal[date],SommeParJours!A97,Journal[Temps])</f>
        <v>0</v>
      </c>
    </row>
    <row r="98">
      <c r="A98" s="119"/>
      <c r="B98" s="117" t="str">
        <f t="shared" si="1"/>
        <v/>
      </c>
      <c r="C98" s="118">
        <f>SUMIF(Journal[date],SommeParJours!A98,Journal[Temps])</f>
        <v>0</v>
      </c>
    </row>
    <row r="99">
      <c r="A99" s="119"/>
      <c r="B99" s="117" t="str">
        <f t="shared" si="1"/>
        <v/>
      </c>
      <c r="C99" s="118">
        <f>SUMIF(Journal[date],SommeParJours!A99,Journal[Temps])</f>
        <v>0</v>
      </c>
    </row>
    <row r="100">
      <c r="A100" s="119"/>
      <c r="B100" s="117" t="str">
        <f t="shared" si="1"/>
        <v/>
      </c>
      <c r="C100" s="118">
        <f>SUMIF(Journal[date],SommeParJours!A100,Journal[Temps])</f>
        <v>0</v>
      </c>
    </row>
    <row r="101">
      <c r="A101" s="119"/>
      <c r="B101" s="117" t="str">
        <f t="shared" si="1"/>
        <v/>
      </c>
      <c r="C101" s="118">
        <f>SUMIF(Journal[date],SommeParJours!A101,Journal[Temps])</f>
        <v>0</v>
      </c>
    </row>
    <row r="102">
      <c r="A102" s="119"/>
      <c r="B102" s="117" t="str">
        <f t="shared" si="1"/>
        <v/>
      </c>
      <c r="C102" s="118">
        <f>SUMIF(Journal[date],SommeParJours!A102,Journal[Temps])</f>
        <v>0</v>
      </c>
    </row>
    <row r="103">
      <c r="A103" s="119"/>
      <c r="B103" s="117" t="str">
        <f t="shared" si="1"/>
        <v/>
      </c>
      <c r="C103" s="118">
        <f>SUMIF(Journal[date],SommeParJours!A103,Journal[Temps])</f>
        <v>0</v>
      </c>
    </row>
    <row r="104">
      <c r="A104" s="119"/>
      <c r="B104" s="117" t="str">
        <f t="shared" si="1"/>
        <v/>
      </c>
      <c r="C104" s="118">
        <f>SUMIF(Journal[date],SommeParJours!A104,Journal[Temps])</f>
        <v>0</v>
      </c>
    </row>
    <row r="105">
      <c r="A105" s="119"/>
      <c r="B105" s="117" t="str">
        <f t="shared" si="1"/>
        <v/>
      </c>
      <c r="C105" s="118">
        <f>SUMIF(Journal[date],SommeParJours!A105,Journal[Temps])</f>
        <v>0</v>
      </c>
    </row>
    <row r="106">
      <c r="A106" s="119"/>
      <c r="B106" s="117" t="str">
        <f t="shared" si="1"/>
        <v/>
      </c>
      <c r="C106" s="118">
        <f>SUMIF(Journal[date],SommeParJours!A106,Journal[Temps])</f>
        <v>0</v>
      </c>
    </row>
    <row r="107">
      <c r="A107" s="119"/>
      <c r="B107" s="117" t="str">
        <f t="shared" si="1"/>
        <v/>
      </c>
      <c r="C107" s="118">
        <f>SUMIF(Journal[date],SommeParJours!A107,Journal[Temps])</f>
        <v>0</v>
      </c>
    </row>
    <row r="108">
      <c r="A108" s="119"/>
      <c r="B108" s="117" t="str">
        <f t="shared" si="1"/>
        <v/>
      </c>
      <c r="C108" s="118">
        <f>SUMIF(Journal[date],SommeParJours!A108,Journal[Temps])</f>
        <v>0</v>
      </c>
    </row>
    <row r="109">
      <c r="A109" s="119"/>
      <c r="B109" s="117" t="str">
        <f t="shared" si="1"/>
        <v/>
      </c>
      <c r="C109" s="118">
        <f>SUMIF(Journal[date],SommeParJours!A109,Journal[Temps])</f>
        <v>0</v>
      </c>
    </row>
    <row r="110">
      <c r="A110" s="119"/>
      <c r="B110" s="117" t="str">
        <f t="shared" si="1"/>
        <v/>
      </c>
      <c r="C110" s="118">
        <f>SUMIF(Journal[date],SommeParJours!A110,Journal[Temps])</f>
        <v>0</v>
      </c>
    </row>
    <row r="111">
      <c r="A111" s="119"/>
      <c r="B111" s="117" t="str">
        <f t="shared" si="1"/>
        <v/>
      </c>
      <c r="C111" s="118">
        <f>SUMIF(Journal[date],SommeParJours!A111,Journal[Temps])</f>
        <v>0</v>
      </c>
    </row>
    <row r="112">
      <c r="A112" s="119"/>
      <c r="B112" s="117" t="str">
        <f t="shared" si="1"/>
        <v/>
      </c>
      <c r="C112" s="118">
        <f>SUMIF(Journal[date],SommeParJours!A112,Journal[Temps])</f>
        <v>0</v>
      </c>
    </row>
    <row r="113">
      <c r="A113" s="119"/>
      <c r="B113" s="117" t="str">
        <f t="shared" si="1"/>
        <v/>
      </c>
      <c r="C113" s="118">
        <f>SUMIF(Journal[date],SommeParJours!A113,Journal[Temps])</f>
        <v>0</v>
      </c>
    </row>
    <row r="114">
      <c r="A114" s="119"/>
      <c r="B114" s="117" t="str">
        <f t="shared" si="1"/>
        <v/>
      </c>
      <c r="C114" s="118">
        <f>SUMIF(Journal[date],SommeParJours!A114,Journal[Temps])</f>
        <v>0</v>
      </c>
    </row>
    <row r="115">
      <c r="A115" s="119"/>
      <c r="B115" s="119"/>
      <c r="C115" s="118"/>
    </row>
    <row r="116">
      <c r="A116" s="119"/>
      <c r="B116" s="119"/>
      <c r="C116" s="118"/>
    </row>
    <row r="117">
      <c r="A117" s="119"/>
      <c r="B117" s="119"/>
      <c r="C117" s="118"/>
    </row>
    <row r="118">
      <c r="A118" s="119"/>
      <c r="B118" s="119"/>
      <c r="C118" s="118"/>
    </row>
    <row r="119">
      <c r="A119" s="119"/>
      <c r="B119" s="119"/>
      <c r="C119" s="118"/>
    </row>
    <row r="120">
      <c r="A120" s="119"/>
      <c r="B120" s="119"/>
      <c r="C120" s="118"/>
    </row>
    <row r="121">
      <c r="A121" s="119"/>
      <c r="B121" s="119"/>
      <c r="C121" s="118"/>
    </row>
    <row r="122">
      <c r="A122" s="119"/>
      <c r="B122" s="119"/>
      <c r="C122" s="118"/>
    </row>
    <row r="123">
      <c r="A123" s="119"/>
      <c r="B123" s="119"/>
      <c r="C123" s="118"/>
    </row>
    <row r="124">
      <c r="A124" s="119"/>
      <c r="B124" s="119"/>
      <c r="C124" s="118"/>
    </row>
    <row r="125">
      <c r="A125" s="119"/>
      <c r="B125" s="119"/>
      <c r="C125" s="118"/>
    </row>
    <row r="126">
      <c r="A126" s="119"/>
      <c r="B126" s="119"/>
      <c r="C126" s="118"/>
    </row>
    <row r="127">
      <c r="A127" s="119"/>
      <c r="B127" s="119"/>
      <c r="C127" s="118"/>
    </row>
    <row r="128">
      <c r="A128" s="119"/>
      <c r="B128" s="119"/>
      <c r="C128" s="118"/>
    </row>
    <row r="129">
      <c r="A129" s="119"/>
      <c r="B129" s="119"/>
      <c r="C129" s="118"/>
    </row>
    <row r="130">
      <c r="A130" s="119"/>
      <c r="B130" s="119"/>
      <c r="C130" s="118"/>
    </row>
    <row r="131">
      <c r="A131" s="119"/>
      <c r="B131" s="119"/>
      <c r="C131" s="118"/>
    </row>
    <row r="132">
      <c r="A132" s="119"/>
      <c r="B132" s="119"/>
      <c r="C132" s="118"/>
    </row>
    <row r="133">
      <c r="A133" s="119"/>
      <c r="B133" s="119"/>
      <c r="C133" s="118"/>
    </row>
    <row r="134">
      <c r="A134" s="119"/>
      <c r="B134" s="119"/>
      <c r="C134" s="118"/>
    </row>
    <row r="135">
      <c r="A135" s="119"/>
      <c r="B135" s="119"/>
      <c r="C135" s="118"/>
    </row>
    <row r="136">
      <c r="A136" s="119"/>
      <c r="B136" s="119"/>
      <c r="C136" s="118"/>
    </row>
    <row r="137">
      <c r="A137" s="119"/>
      <c r="B137" s="119"/>
      <c r="C137" s="118"/>
    </row>
    <row r="138">
      <c r="A138" s="119"/>
      <c r="B138" s="119"/>
      <c r="C138" s="118"/>
    </row>
    <row r="139">
      <c r="A139" s="119"/>
      <c r="B139" s="119"/>
      <c r="C139" s="118"/>
    </row>
    <row r="140">
      <c r="A140" s="119"/>
      <c r="B140" s="119"/>
      <c r="C140" s="118"/>
    </row>
    <row r="141">
      <c r="A141" s="119"/>
      <c r="B141" s="119"/>
      <c r="C141" s="118"/>
    </row>
    <row r="142">
      <c r="A142" s="119"/>
      <c r="B142" s="119"/>
      <c r="C142" s="118"/>
    </row>
    <row r="143">
      <c r="A143" s="119"/>
      <c r="B143" s="119"/>
      <c r="C143" s="118"/>
    </row>
    <row r="144">
      <c r="A144" s="119"/>
      <c r="B144" s="119"/>
      <c r="C144" s="118"/>
    </row>
    <row r="145">
      <c r="A145" s="119"/>
      <c r="B145" s="119"/>
      <c r="C145" s="118"/>
    </row>
    <row r="146">
      <c r="A146" s="119"/>
      <c r="B146" s="119"/>
      <c r="C146" s="118"/>
    </row>
    <row r="147">
      <c r="A147" s="119"/>
      <c r="B147" s="119"/>
      <c r="C147" s="118"/>
    </row>
    <row r="148">
      <c r="A148" s="119"/>
      <c r="B148" s="119"/>
      <c r="C148" s="118"/>
    </row>
    <row r="149">
      <c r="A149" s="119"/>
      <c r="B149" s="119"/>
      <c r="C149" s="118"/>
    </row>
    <row r="150">
      <c r="A150" s="119"/>
      <c r="B150" s="119"/>
      <c r="C150" s="118"/>
    </row>
    <row r="151">
      <c r="A151" s="119"/>
      <c r="B151" s="119"/>
      <c r="C151" s="118"/>
    </row>
    <row r="152">
      <c r="A152" s="119"/>
      <c r="B152" s="119"/>
      <c r="C152" s="118"/>
    </row>
    <row r="153">
      <c r="A153" s="119"/>
      <c r="B153" s="119"/>
      <c r="C153" s="118"/>
    </row>
    <row r="154">
      <c r="A154" s="119"/>
      <c r="B154" s="119"/>
      <c r="C154" s="118"/>
    </row>
    <row r="155">
      <c r="A155" s="119"/>
      <c r="B155" s="119"/>
      <c r="C155" s="118"/>
    </row>
    <row r="156">
      <c r="A156" s="119"/>
      <c r="B156" s="119"/>
      <c r="C156" s="118"/>
    </row>
    <row r="157">
      <c r="A157" s="119"/>
      <c r="B157" s="119"/>
      <c r="C157" s="118"/>
    </row>
    <row r="158">
      <c r="A158" s="119"/>
      <c r="B158" s="119"/>
      <c r="C158" s="118"/>
    </row>
    <row r="159">
      <c r="A159" s="119"/>
      <c r="B159" s="119"/>
    </row>
    <row r="160">
      <c r="A160" s="119"/>
      <c r="B160" s="119"/>
    </row>
    <row r="161">
      <c r="A161" s="119"/>
      <c r="B161" s="119"/>
    </row>
    <row r="162">
      <c r="A162" s="119"/>
      <c r="B162" s="119"/>
    </row>
    <row r="163">
      <c r="A163" s="119"/>
      <c r="B163" s="119"/>
    </row>
    <row r="164">
      <c r="A164" s="119"/>
      <c r="B164" s="119"/>
    </row>
    <row r="165">
      <c r="A165" s="119"/>
      <c r="B165" s="119"/>
    </row>
    <row r="166">
      <c r="A166" s="119"/>
      <c r="B166" s="119"/>
    </row>
    <row r="167">
      <c r="A167" s="119"/>
      <c r="B167" s="119"/>
    </row>
    <row r="168">
      <c r="A168" s="119"/>
      <c r="B168" s="119"/>
    </row>
    <row r="169">
      <c r="A169" s="119"/>
      <c r="B169" s="119"/>
    </row>
    <row r="170">
      <c r="A170" s="119"/>
      <c r="B170" s="119"/>
    </row>
    <row r="171">
      <c r="A171" s="119"/>
      <c r="B171" s="119"/>
    </row>
    <row r="172">
      <c r="A172" s="119"/>
      <c r="B172" s="119"/>
    </row>
    <row r="173">
      <c r="A173" s="119"/>
      <c r="B173" s="119"/>
    </row>
    <row r="174">
      <c r="A174" s="119"/>
      <c r="B174" s="119"/>
    </row>
    <row r="175">
      <c r="A175" s="119"/>
      <c r="B175" s="119"/>
    </row>
    <row r="176">
      <c r="A176" s="119"/>
      <c r="B176" s="119"/>
    </row>
    <row r="177">
      <c r="A177" s="119"/>
      <c r="B177" s="119"/>
    </row>
    <row r="178">
      <c r="A178" s="119"/>
      <c r="B178" s="119"/>
    </row>
    <row r="179">
      <c r="A179" s="119"/>
      <c r="B179" s="119"/>
    </row>
    <row r="180">
      <c r="A180" s="119"/>
      <c r="B180" s="119"/>
    </row>
    <row r="181">
      <c r="A181" s="119"/>
      <c r="B181" s="119"/>
    </row>
    <row r="182">
      <c r="A182" s="119"/>
      <c r="B182" s="119"/>
    </row>
    <row r="183">
      <c r="A183" s="119"/>
      <c r="B183" s="119"/>
    </row>
    <row r="184">
      <c r="A184" s="119"/>
      <c r="B184" s="119"/>
    </row>
    <row r="185">
      <c r="A185" s="119"/>
      <c r="B185" s="119"/>
    </row>
    <row r="186">
      <c r="A186" s="119"/>
      <c r="B186" s="119"/>
    </row>
    <row r="187">
      <c r="A187" s="119"/>
      <c r="B187" s="119"/>
    </row>
    <row r="188">
      <c r="A188" s="119"/>
      <c r="B188" s="119"/>
    </row>
    <row r="189">
      <c r="A189" s="119"/>
      <c r="B189" s="119"/>
    </row>
    <row r="190">
      <c r="A190" s="119"/>
      <c r="B190" s="119"/>
    </row>
    <row r="191">
      <c r="A191" s="119"/>
      <c r="B191" s="119"/>
    </row>
    <row r="192">
      <c r="A192" s="119"/>
      <c r="B192" s="119"/>
    </row>
    <row r="193">
      <c r="A193" s="119"/>
      <c r="B193" s="119"/>
    </row>
    <row r="194">
      <c r="A194" s="119"/>
      <c r="B194" s="119"/>
    </row>
    <row r="195">
      <c r="A195" s="119"/>
      <c r="B195" s="119"/>
    </row>
    <row r="196">
      <c r="A196" s="119"/>
      <c r="B196" s="119"/>
    </row>
    <row r="197">
      <c r="A197" s="119"/>
      <c r="B197" s="119"/>
    </row>
    <row r="198">
      <c r="A198" s="119"/>
      <c r="B198" s="119"/>
    </row>
    <row r="199">
      <c r="A199" s="119"/>
      <c r="B199" s="119"/>
    </row>
    <row r="200">
      <c r="A200" s="119"/>
      <c r="B200" s="119"/>
    </row>
    <row r="201">
      <c r="A201" s="119"/>
      <c r="B201" s="119"/>
    </row>
    <row r="202">
      <c r="A202" s="119"/>
      <c r="B202" s="119"/>
    </row>
    <row r="203">
      <c r="A203" s="119"/>
      <c r="B203" s="119"/>
    </row>
    <row r="204">
      <c r="A204" s="119"/>
      <c r="B204" s="119"/>
    </row>
    <row r="205">
      <c r="A205" s="119"/>
      <c r="B205" s="119"/>
    </row>
    <row r="206">
      <c r="A206" s="119"/>
      <c r="B206" s="119"/>
    </row>
    <row r="207">
      <c r="A207" s="119"/>
      <c r="B207" s="119"/>
    </row>
    <row r="208">
      <c r="A208" s="119"/>
      <c r="B208" s="119"/>
    </row>
    <row r="209">
      <c r="A209" s="119"/>
      <c r="B209" s="119"/>
    </row>
    <row r="210">
      <c r="A210" s="119"/>
      <c r="B210" s="119"/>
    </row>
    <row r="211">
      <c r="A211" s="119"/>
      <c r="B211" s="119"/>
    </row>
    <row r="212">
      <c r="A212" s="119"/>
      <c r="B212" s="119"/>
    </row>
    <row r="213">
      <c r="A213" s="119"/>
      <c r="B213" s="119"/>
    </row>
    <row r="214">
      <c r="A214" s="119"/>
      <c r="B214" s="119"/>
    </row>
    <row r="215">
      <c r="A215" s="119"/>
      <c r="B215" s="119"/>
    </row>
    <row r="216">
      <c r="A216" s="119"/>
      <c r="B216" s="119"/>
    </row>
    <row r="217">
      <c r="A217" s="119"/>
      <c r="B217" s="119"/>
    </row>
    <row r="218">
      <c r="A218" s="119"/>
      <c r="B218" s="119"/>
    </row>
    <row r="219">
      <c r="A219" s="119"/>
      <c r="B219" s="119"/>
    </row>
    <row r="220">
      <c r="A220" s="119"/>
      <c r="B220" s="119"/>
    </row>
    <row r="221">
      <c r="A221" s="119"/>
      <c r="B221" s="119"/>
    </row>
    <row r="222">
      <c r="A222" s="119"/>
      <c r="B222" s="119"/>
    </row>
    <row r="223">
      <c r="A223" s="119"/>
      <c r="B223" s="119"/>
    </row>
    <row r="224">
      <c r="A224" s="119"/>
      <c r="B224" s="119"/>
    </row>
    <row r="225">
      <c r="A225" s="119"/>
      <c r="B225" s="119"/>
    </row>
    <row r="226">
      <c r="A226" s="119"/>
      <c r="B226" s="119"/>
    </row>
    <row r="227">
      <c r="A227" s="119"/>
      <c r="B227" s="119"/>
    </row>
    <row r="228">
      <c r="A228" s="119"/>
      <c r="B228" s="119"/>
    </row>
    <row r="229">
      <c r="A229" s="119"/>
      <c r="B229" s="119"/>
    </row>
    <row r="230">
      <c r="A230" s="119"/>
      <c r="B230" s="119"/>
    </row>
    <row r="231">
      <c r="A231" s="119"/>
      <c r="B231" s="119"/>
    </row>
    <row r="232">
      <c r="A232" s="119"/>
      <c r="B232" s="119"/>
    </row>
    <row r="233">
      <c r="A233" s="119"/>
      <c r="B233" s="119"/>
    </row>
    <row r="234">
      <c r="A234" s="119"/>
      <c r="B234" s="119"/>
    </row>
    <row r="235">
      <c r="A235" s="119"/>
      <c r="B235" s="11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revision>5</cp:revision>
  <dcterms:created xsi:type="dcterms:W3CDTF">2025-03-25T12:56:59Z</dcterms:created>
  <dcterms:modified xsi:type="dcterms:W3CDTF">2026-01-27T15:14:47Z</dcterms:modified>
</cp:coreProperties>
</file>