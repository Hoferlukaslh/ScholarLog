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lukas\Desktop\ScholarLog\Documentation\"/>
    </mc:Choice>
  </mc:AlternateContent>
  <xr:revisionPtr revIDLastSave="0" documentId="13_ncr:1_{91553C8D-AADE-487A-96A4-865731F4ECDB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Journal" sheetId="1" r:id="rId1"/>
    <sheet name="Graphique" sheetId="2" state="hidden" r:id="rId2"/>
    <sheet name="Plannification" sheetId="3" r:id="rId3"/>
    <sheet name="PlanificationExemple" sheetId="4" r:id="rId4"/>
    <sheet name="SommeParJours" sheetId="5" state="hidden" r:id="rId5"/>
  </sheets>
  <definedNames>
    <definedName name="_xlnm.Print_Area" localSheetId="0">Journal!$B$2:$H$30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4" i="5" l="1"/>
  <c r="B114" i="5"/>
  <c r="C113" i="5"/>
  <c r="B113" i="5"/>
  <c r="C112" i="5"/>
  <c r="B112" i="5"/>
  <c r="C111" i="5"/>
  <c r="B111" i="5"/>
  <c r="C110" i="5"/>
  <c r="B110" i="5"/>
  <c r="C109" i="5"/>
  <c r="B109" i="5"/>
  <c r="C108" i="5"/>
  <c r="B108" i="5"/>
  <c r="C107" i="5"/>
  <c r="B107" i="5"/>
  <c r="C106" i="5"/>
  <c r="B106" i="5"/>
  <c r="C105" i="5"/>
  <c r="B105" i="5"/>
  <c r="C104" i="5"/>
  <c r="B104" i="5"/>
  <c r="C103" i="5"/>
  <c r="B103" i="5"/>
  <c r="C102" i="5"/>
  <c r="B102" i="5"/>
  <c r="C101" i="5"/>
  <c r="B101" i="5"/>
  <c r="C100" i="5"/>
  <c r="B100" i="5"/>
  <c r="C99" i="5"/>
  <c r="B99" i="5"/>
  <c r="C98" i="5"/>
  <c r="B98" i="5"/>
  <c r="C97" i="5"/>
  <c r="B97" i="5"/>
  <c r="C96" i="5"/>
  <c r="B96" i="5"/>
  <c r="C95" i="5"/>
  <c r="B95" i="5"/>
  <c r="C94" i="5"/>
  <c r="B94" i="5"/>
  <c r="C93" i="5"/>
  <c r="B93" i="5"/>
  <c r="C92" i="5"/>
  <c r="B92" i="5"/>
  <c r="C91" i="5"/>
  <c r="B91" i="5"/>
  <c r="C90" i="5"/>
  <c r="B90" i="5"/>
  <c r="C89" i="5"/>
  <c r="B89" i="5"/>
  <c r="C88" i="5"/>
  <c r="B88" i="5"/>
  <c r="C87" i="5"/>
  <c r="B87" i="5"/>
  <c r="C86" i="5"/>
  <c r="B86" i="5"/>
  <c r="C85" i="5"/>
  <c r="B85" i="5"/>
  <c r="C84" i="5"/>
  <c r="B84" i="5"/>
  <c r="C83" i="5"/>
  <c r="B83" i="5"/>
  <c r="C82" i="5"/>
  <c r="B82" i="5"/>
  <c r="C81" i="5"/>
  <c r="B81" i="5"/>
  <c r="C80" i="5"/>
  <c r="B80" i="5"/>
  <c r="C79" i="5"/>
  <c r="B79" i="5"/>
  <c r="C78" i="5"/>
  <c r="B78" i="5"/>
  <c r="C77" i="5"/>
  <c r="B77" i="5"/>
  <c r="C76" i="5"/>
  <c r="B76" i="5"/>
  <c r="C75" i="5"/>
  <c r="B75" i="5"/>
  <c r="C74" i="5"/>
  <c r="B74" i="5"/>
  <c r="C73" i="5"/>
  <c r="B73" i="5"/>
  <c r="C72" i="5"/>
  <c r="B72" i="5"/>
  <c r="C71" i="5"/>
  <c r="B71" i="5"/>
  <c r="C70" i="5"/>
  <c r="B70" i="5"/>
  <c r="C69" i="5"/>
  <c r="B69" i="5"/>
  <c r="C68" i="5"/>
  <c r="B68" i="5"/>
  <c r="C67" i="5"/>
  <c r="B67" i="5"/>
  <c r="C66" i="5"/>
  <c r="B66" i="5"/>
  <c r="C65" i="5"/>
  <c r="B65" i="5"/>
  <c r="C64" i="5"/>
  <c r="B64" i="5"/>
  <c r="C63" i="5"/>
  <c r="B63" i="5"/>
  <c r="C62" i="5"/>
  <c r="B62" i="5"/>
  <c r="C61" i="5"/>
  <c r="B61" i="5"/>
  <c r="C60" i="5"/>
  <c r="B60" i="5"/>
  <c r="C59" i="5"/>
  <c r="B59" i="5"/>
  <c r="C58" i="5"/>
  <c r="B58" i="5"/>
  <c r="C57" i="5"/>
  <c r="B57" i="5"/>
  <c r="C56" i="5"/>
  <c r="B56" i="5"/>
  <c r="C55" i="5"/>
  <c r="B55" i="5"/>
  <c r="C54" i="5"/>
  <c r="B54" i="5"/>
  <c r="C53" i="5"/>
  <c r="B53" i="5"/>
  <c r="C52" i="5"/>
  <c r="B52" i="5"/>
  <c r="C51" i="5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B39" i="5"/>
  <c r="C38" i="5"/>
  <c r="B38" i="5"/>
  <c r="C37" i="5"/>
  <c r="B37" i="5"/>
  <c r="C36" i="5"/>
  <c r="B36" i="5"/>
  <c r="C35" i="5"/>
  <c r="B35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A2" i="5" a="1"/>
  <c r="A11" i="5"/>
  <c r="C11" i="5"/>
  <c r="B11" i="5"/>
  <c r="A10" i="5"/>
  <c r="C10" i="5"/>
  <c r="B10" i="5"/>
  <c r="A9" i="5"/>
  <c r="C9" i="5"/>
  <c r="B9" i="5"/>
  <c r="A8" i="5"/>
  <c r="C8" i="5"/>
  <c r="B8" i="5"/>
  <c r="A7" i="5"/>
  <c r="C7" i="5"/>
  <c r="B7" i="5"/>
  <c r="A6" i="5"/>
  <c r="C6" i="5"/>
  <c r="B6" i="5"/>
  <c r="A5" i="5"/>
  <c r="C5" i="5"/>
  <c r="B5" i="5"/>
  <c r="A4" i="5"/>
  <c r="C4" i="5"/>
  <c r="B4" i="5"/>
  <c r="A3" i="5"/>
  <c r="C3" i="5"/>
  <c r="B3" i="5"/>
  <c r="A2" i="5"/>
  <c r="C2" i="5"/>
  <c r="B2" i="5"/>
  <c r="H3" i="1"/>
  <c r="H4" i="1"/>
  <c r="H5" i="1"/>
  <c r="H6" i="1"/>
  <c r="H7" i="1"/>
  <c r="H8" i="1"/>
  <c r="H9" i="1"/>
  <c r="H10" i="1"/>
  <c r="H11" i="1"/>
  <c r="H12" i="1"/>
</calcChain>
</file>

<file path=xl/sharedStrings.xml><?xml version="1.0" encoding="utf-8"?>
<sst xmlns="http://schemas.openxmlformats.org/spreadsheetml/2006/main" count="128" uniqueCount="98">
  <si>
    <t>date</t>
  </si>
  <si>
    <t>Temps</t>
  </si>
  <si>
    <t>type de travail</t>
  </si>
  <si>
    <t>description</t>
  </si>
  <si>
    <t>somme</t>
  </si>
  <si>
    <t>20.01.2026</t>
  </si>
  <si>
    <t>Cours</t>
  </si>
  <si>
    <t>Introduction au module 5. Prise de notes.</t>
  </si>
  <si>
    <t>Recherche</t>
  </si>
  <si>
    <t>Recherche d'idée de projet.</t>
  </si>
  <si>
    <t>Plannification</t>
  </si>
  <si>
    <t>27.01.2026</t>
  </si>
  <si>
    <t>Documentation</t>
  </si>
  <si>
    <t>Création du cahier des charge, validation avec responsable du module. Création de la documentation technique.</t>
  </si>
  <si>
    <t>Recherche et configuration de solution GitHub. Clés SSH.</t>
  </si>
  <si>
    <t>Maquettage</t>
  </si>
  <si>
    <t>Recherche d'une application pour faire une maquette</t>
  </si>
  <si>
    <t>30.01.2026</t>
  </si>
  <si>
    <t>Recherche d'une application pour faire une maquette + Lecture de la documentation de l'outil Penpot</t>
  </si>
  <si>
    <t>Programmation</t>
  </si>
  <si>
    <t>Commencement de la maquette de l'application</t>
  </si>
  <si>
    <t>Tests</t>
  </si>
  <si>
    <t>03.02.2026</t>
  </si>
  <si>
    <t>Finalisation de l'introduction du projet.</t>
  </si>
  <si>
    <t>Ajout de la licence du projet et ajout de l'interface dans le dépot GitHub</t>
  </si>
  <si>
    <t>Présentation</t>
  </si>
  <si>
    <t>Commencement de la plannification du projet</t>
  </si>
  <si>
    <t>Somme</t>
  </si>
  <si>
    <t>Janvier</t>
  </si>
  <si>
    <t>Février</t>
  </si>
  <si>
    <t>Mars</t>
  </si>
  <si>
    <t>Avril</t>
  </si>
  <si>
    <t>Mai</t>
  </si>
  <si>
    <t>Juin</t>
  </si>
  <si>
    <t>Phases</t>
  </si>
  <si>
    <t>Tâche</t>
  </si>
  <si>
    <t>Dates</t>
  </si>
  <si>
    <t>26.01.2026</t>
  </si>
  <si>
    <t>02.02.2026</t>
  </si>
  <si>
    <t>09.03.2026</t>
  </si>
  <si>
    <t>10.03.2026</t>
  </si>
  <si>
    <t>Vacances (16-20 fev.)</t>
  </si>
  <si>
    <t>23.02.2026</t>
  </si>
  <si>
    <t>24.02.2026</t>
  </si>
  <si>
    <t>02.03.2026</t>
  </si>
  <si>
    <t>03.03.2026</t>
  </si>
  <si>
    <t>16.03.2026</t>
  </si>
  <si>
    <t>17.03.2026</t>
  </si>
  <si>
    <t>24.03.2026</t>
  </si>
  <si>
    <t>30.03.2026</t>
  </si>
  <si>
    <t>31.03.2026</t>
  </si>
  <si>
    <t>Vacances (6-18 avr.)</t>
  </si>
  <si>
    <t>20.04.2026</t>
  </si>
  <si>
    <t>21.04.2026</t>
  </si>
  <si>
    <t>28.04.2026</t>
  </si>
  <si>
    <t>04.05.2026</t>
  </si>
  <si>
    <t>05.05.2026</t>
  </si>
  <si>
    <t>12.05.2026</t>
  </si>
  <si>
    <t>Absent (18-22 Mai)</t>
  </si>
  <si>
    <t>26.05.2026</t>
  </si>
  <si>
    <t>01.06.2026</t>
  </si>
  <si>
    <t>02.06.2026</t>
  </si>
  <si>
    <t>08.06.2026</t>
  </si>
  <si>
    <t>09.06.2026</t>
  </si>
  <si>
    <t>11.06.2026</t>
  </si>
  <si>
    <t>Mois</t>
  </si>
  <si>
    <t>Octobre</t>
  </si>
  <si>
    <t>Novembre</t>
  </si>
  <si>
    <t>Décembre</t>
  </si>
  <si>
    <t>S</t>
  </si>
  <si>
    <t xml:space="preserve">10 semaines à 5 périodes  </t>
  </si>
  <si>
    <t>Étude des besoins</t>
  </si>
  <si>
    <t xml:space="preserve">Organigramme </t>
  </si>
  <si>
    <t>De octobre 2025 à janvier 2026</t>
  </si>
  <si>
    <t>Service réseau</t>
  </si>
  <si>
    <t>Remise :  11.02.2026</t>
  </si>
  <si>
    <t>Présentation : ?</t>
  </si>
  <si>
    <t>Nombre de nœuds</t>
  </si>
  <si>
    <t>Remédiation : ?</t>
  </si>
  <si>
    <t>Sécurité</t>
  </si>
  <si>
    <t>Conception
 Logique</t>
  </si>
  <si>
    <t>Topologie logique</t>
  </si>
  <si>
    <t>Plan d'adressage IPv4 et IPv6</t>
  </si>
  <si>
    <t>Planification du projet</t>
  </si>
  <si>
    <t>Analyse impl.</t>
  </si>
  <si>
    <t>Plan physique</t>
  </si>
  <si>
    <t>Liste de matériels</t>
  </si>
  <si>
    <t>Mise en place de la sécurité</t>
  </si>
  <si>
    <t>Simulation</t>
  </si>
  <si>
    <t>Création du réseau sur packet tracer</t>
  </si>
  <si>
    <t>Test du réseau</t>
  </si>
  <si>
    <t>Debug du réseau + checklist</t>
  </si>
  <si>
    <t>Journal de travail</t>
  </si>
  <si>
    <t>Préparation a la présentation</t>
  </si>
  <si>
    <t>Planifiée</t>
  </si>
  <si>
    <t>Effective</t>
  </si>
  <si>
    <t>somme_no</t>
  </si>
  <si>
    <t>Révision de la licence et des citation des ressources GPL3.0-Only parce que l'opensource c'est génial.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</si>
</sst>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h:mm;@"/>
    <numFmt numFmtId="165" formatCode="dd\.mm\.yyyy;@"/>
    <numFmt numFmtId="166" formatCode="hh:mm;@"/>
    <numFmt numFmtId="167" formatCode="0.0&quot; H&quot;;@"/>
    <numFmt numFmtId="168" formatCode="d/m/yy;@"/>
    <numFmt numFmtId="169" formatCode="yyyy\-mm\-dd;@"/>
  </numFmts>
  <fonts count="3" x14ac:knownFonts="1">
    <font>
      <sz val="11"/>
      <color theme="1"/>
      <name val="Calibri"/>
      <scheme val="minor"/>
    </font>
    <font>
      <sz val="11"/>
      <color theme="0" tint="-0.499984740745262"/>
      <name val="Calibri"/>
      <scheme val="minor"/>
    </font>
    <font>
      <sz val="11"/>
      <color theme="0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5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</fills>
  <borders count="65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Dashed">
        <color auto="1"/>
      </right>
      <top style="medium">
        <color auto="1"/>
      </top>
      <bottom style="mediumDashed">
        <color auto="1"/>
      </bottom>
      <diagonal/>
    </border>
    <border>
      <left/>
      <right/>
      <top style="medium">
        <color auto="1"/>
      </top>
      <bottom style="mediumDashed">
        <color auto="1"/>
      </bottom>
      <diagonal/>
    </border>
    <border>
      <left/>
      <right style="medium">
        <color auto="1"/>
      </right>
      <top style="medium">
        <color auto="1"/>
      </top>
      <bottom style="mediumDashed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 style="dashDot">
        <color auto="1"/>
      </right>
      <top/>
      <bottom/>
      <diagonal/>
    </border>
    <border>
      <left style="dashDot">
        <color auto="1"/>
      </left>
      <right style="dashDot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/>
      <right style="mediumDashed">
        <color auto="1"/>
      </right>
      <top style="medium">
        <color auto="1"/>
      </top>
      <bottom/>
      <diagonal/>
    </border>
    <border>
      <left style="mediumDashed">
        <color auto="1"/>
      </left>
      <right style="dashDot">
        <color auto="1"/>
      </right>
      <top style="medium">
        <color auto="1"/>
      </top>
      <bottom/>
      <diagonal/>
    </border>
    <border>
      <left style="dashDot">
        <color auto="1"/>
      </left>
      <right style="dashDot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mediumDashed">
        <color auto="1"/>
      </right>
      <top/>
      <bottom style="thin">
        <color auto="1"/>
      </bottom>
      <diagonal/>
    </border>
    <border>
      <left style="mediumDashed">
        <color auto="1"/>
      </left>
      <right style="dashDot">
        <color auto="1"/>
      </right>
      <top/>
      <bottom style="thin">
        <color auto="1"/>
      </bottom>
      <diagonal/>
    </border>
    <border>
      <left style="dashDot">
        <color auto="1"/>
      </left>
      <right style="dashDot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mediumDashed">
        <color auto="1"/>
      </right>
      <top style="thin">
        <color auto="1"/>
      </top>
      <bottom/>
      <diagonal/>
    </border>
    <border>
      <left style="mediumDashed">
        <color auto="1"/>
      </left>
      <right style="dashDot">
        <color auto="1"/>
      </right>
      <top style="thin">
        <color auto="1"/>
      </top>
      <bottom/>
      <diagonal/>
    </border>
    <border>
      <left style="dashDot">
        <color auto="1"/>
      </left>
      <right style="dashDot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Dashed">
        <color auto="1"/>
      </right>
      <top/>
      <bottom style="medium">
        <color auto="1"/>
      </bottom>
      <diagonal/>
    </border>
    <border>
      <left style="mediumDashed">
        <color auto="1"/>
      </left>
      <right style="dashDot">
        <color auto="1"/>
      </right>
      <top/>
      <bottom style="medium">
        <color auto="1"/>
      </bottom>
      <diagonal/>
    </border>
    <border>
      <left style="dashDot">
        <color auto="1"/>
      </left>
      <right style="dashDot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ashDot">
        <color auto="1"/>
      </left>
      <right style="dashDotDot">
        <color auto="1"/>
      </right>
      <top/>
      <bottom/>
      <diagonal/>
    </border>
    <border>
      <left/>
      <right style="dashDot">
        <color auto="1"/>
      </right>
      <top/>
      <bottom/>
      <diagonal/>
    </border>
    <border>
      <left style="mediumDashed">
        <color auto="1"/>
      </left>
      <right style="dashDotDot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Dashed">
        <color auto="1"/>
      </right>
      <top style="medium">
        <color auto="1"/>
      </top>
      <bottom/>
      <diagonal/>
    </border>
    <border>
      <left/>
      <right style="dashDotDot">
        <color auto="1"/>
      </right>
      <top style="medium">
        <color auto="1"/>
      </top>
      <bottom/>
      <diagonal/>
    </border>
    <border>
      <left style="dashDotDot">
        <color auto="1"/>
      </left>
      <right style="dashDotDot">
        <color auto="1"/>
      </right>
      <top style="medium">
        <color auto="1"/>
      </top>
      <bottom/>
      <diagonal/>
    </border>
    <border>
      <left style="dashDotDot">
        <color auto="1"/>
      </left>
      <right style="mediumDashed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Dashed">
        <color auto="1"/>
      </right>
      <top/>
      <bottom style="thin">
        <color auto="1"/>
      </bottom>
      <diagonal/>
    </border>
    <border>
      <left/>
      <right style="dashDotDot">
        <color auto="1"/>
      </right>
      <top/>
      <bottom style="thin">
        <color auto="1"/>
      </bottom>
      <diagonal/>
    </border>
    <border>
      <left style="dashDotDot">
        <color auto="1"/>
      </left>
      <right style="dashDotDot">
        <color auto="1"/>
      </right>
      <top/>
      <bottom style="thin">
        <color auto="1"/>
      </bottom>
      <diagonal/>
    </border>
    <border>
      <left style="dashDotDot">
        <color auto="1"/>
      </left>
      <right style="mediumDashed">
        <color auto="1"/>
      </right>
      <top/>
      <bottom style="thin">
        <color auto="1"/>
      </bottom>
      <diagonal/>
    </border>
    <border>
      <left style="medium">
        <color auto="1"/>
      </left>
      <right style="mediumDashed">
        <color auto="1"/>
      </right>
      <top style="thin">
        <color auto="1"/>
      </top>
      <bottom/>
      <diagonal/>
    </border>
    <border>
      <left/>
      <right style="dashDotDot">
        <color auto="1"/>
      </right>
      <top style="thin">
        <color auto="1"/>
      </top>
      <bottom/>
      <diagonal/>
    </border>
    <border>
      <left style="dashDotDot">
        <color auto="1"/>
      </left>
      <right style="dashDotDot">
        <color auto="1"/>
      </right>
      <top style="thin">
        <color auto="1"/>
      </top>
      <bottom/>
      <diagonal/>
    </border>
    <border>
      <left style="dashDotDot">
        <color auto="1"/>
      </left>
      <right style="mediumDashed">
        <color auto="1"/>
      </right>
      <top style="thin">
        <color auto="1"/>
      </top>
      <bottom/>
      <diagonal/>
    </border>
    <border>
      <left style="medium">
        <color auto="1"/>
      </left>
      <right style="mediumDashed">
        <color auto="1"/>
      </right>
      <top/>
      <bottom/>
      <diagonal/>
    </border>
    <border>
      <left/>
      <right style="dashDotDot">
        <color auto="1"/>
      </right>
      <top/>
      <bottom/>
      <diagonal/>
    </border>
    <border>
      <left style="dashDotDot">
        <color auto="1"/>
      </left>
      <right style="dashDotDot">
        <color auto="1"/>
      </right>
      <top/>
      <bottom/>
      <diagonal/>
    </border>
    <border>
      <left style="dashDotDot">
        <color auto="1"/>
      </left>
      <right style="mediumDashed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Dashed">
        <color auto="1"/>
      </right>
      <top/>
      <bottom style="medium">
        <color auto="1"/>
      </bottom>
      <diagonal/>
    </border>
    <border>
      <left/>
      <right style="dashDotDot">
        <color auto="1"/>
      </right>
      <top/>
      <bottom style="medium">
        <color auto="1"/>
      </bottom>
      <diagonal/>
    </border>
    <border>
      <left style="dashDotDot">
        <color auto="1"/>
      </left>
      <right style="dashDotDot">
        <color auto="1"/>
      </right>
      <top/>
      <bottom style="medium">
        <color auto="1"/>
      </bottom>
      <diagonal/>
    </border>
    <border>
      <left style="dashDotDot">
        <color auto="1"/>
      </left>
      <right style="mediumDashed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left" vertical="center"/>
    </xf>
    <xf numFmtId="166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167" fontId="0" fillId="0" borderId="0" xfId="0" applyNumberFormat="1" applyAlignment="1">
      <alignment horizontal="center" vertical="center"/>
    </xf>
    <xf numFmtId="2" fontId="0" fillId="0" borderId="0" xfId="0" applyNumberFormat="1"/>
    <xf numFmtId="0" fontId="0" fillId="0" borderId="1" xfId="0" applyBorder="1" applyAlignment="1">
      <alignment horizontal="left" vertical="center"/>
    </xf>
    <xf numFmtId="167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left" vertical="center"/>
    </xf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 textRotation="180"/>
    </xf>
    <xf numFmtId="0" fontId="0" fillId="0" borderId="0" xfId="0" applyAlignment="1">
      <alignment horizontal="center" vertical="center" textRotation="180"/>
    </xf>
    <xf numFmtId="0" fontId="1" fillId="0" borderId="0" xfId="0" applyFont="1" applyAlignment="1">
      <alignment horizontal="center" vertical="center" textRotation="180"/>
    </xf>
    <xf numFmtId="0" fontId="0" fillId="0" borderId="0" xfId="0" applyAlignment="1">
      <alignment horizontal="center" vertical="center" textRotation="180" wrapText="1"/>
    </xf>
    <xf numFmtId="0" fontId="1" fillId="0" borderId="0" xfId="0" applyFont="1" applyAlignment="1">
      <alignment horizontal="center" vertical="center" textRotation="180" wrapText="1"/>
    </xf>
    <xf numFmtId="0" fontId="0" fillId="0" borderId="0" xfId="0" applyAlignment="1">
      <alignment vertical="center" textRotation="180" wrapText="1"/>
    </xf>
    <xf numFmtId="0" fontId="0" fillId="0" borderId="0" xfId="0" applyAlignment="1">
      <alignment textRotation="180" wrapText="1"/>
    </xf>
    <xf numFmtId="0" fontId="0" fillId="0" borderId="3" xfId="0" applyBorder="1"/>
    <xf numFmtId="0" fontId="0" fillId="0" borderId="4" xfId="0" applyBorder="1"/>
    <xf numFmtId="0" fontId="0" fillId="3" borderId="0" xfId="0" applyFill="1" applyAlignment="1">
      <alignment horizontal="left" vertical="center"/>
    </xf>
    <xf numFmtId="0" fontId="0" fillId="4" borderId="5" xfId="0" applyFill="1" applyBorder="1" applyAlignment="1">
      <alignment horizontal="left" vertical="center"/>
    </xf>
    <xf numFmtId="15" fontId="0" fillId="0" borderId="0" xfId="0" applyNumberFormat="1"/>
    <xf numFmtId="0" fontId="0" fillId="2" borderId="7" xfId="0" applyFill="1" applyBorder="1" applyAlignment="1">
      <alignment horizontal="center" vertical="center" textRotation="180"/>
    </xf>
    <xf numFmtId="14" fontId="0" fillId="0" borderId="0" xfId="0" applyNumberFormat="1"/>
    <xf numFmtId="0" fontId="0" fillId="2" borderId="4" xfId="0" applyFill="1" applyBorder="1" applyAlignment="1">
      <alignment horizont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2" xfId="0" applyFill="1" applyBorder="1"/>
    <xf numFmtId="0" fontId="0" fillId="0" borderId="15" xfId="0" applyBorder="1"/>
    <xf numFmtId="0" fontId="0" fillId="3" borderId="16" xfId="0" applyFill="1" applyBorder="1"/>
    <xf numFmtId="0" fontId="0" fillId="0" borderId="17" xfId="0" applyBorder="1"/>
    <xf numFmtId="0" fontId="0" fillId="0" borderId="16" xfId="0" applyBorder="1"/>
    <xf numFmtId="0" fontId="0" fillId="0" borderId="18" xfId="0" applyBorder="1"/>
    <xf numFmtId="0" fontId="0" fillId="2" borderId="10" xfId="0" applyFill="1" applyBorder="1"/>
    <xf numFmtId="0" fontId="0" fillId="0" borderId="20" xfId="0" applyBorder="1"/>
    <xf numFmtId="0" fontId="0" fillId="4" borderId="21" xfId="0" applyFill="1" applyBorder="1"/>
    <xf numFmtId="0" fontId="0" fillId="4" borderId="22" xfId="0" applyFill="1" applyBorder="1"/>
    <xf numFmtId="0" fontId="0" fillId="0" borderId="22" xfId="0" applyBorder="1"/>
    <xf numFmtId="0" fontId="0" fillId="0" borderId="21" xfId="0" applyBorder="1"/>
    <xf numFmtId="0" fontId="0" fillId="0" borderId="23" xfId="0" applyBorder="1"/>
    <xf numFmtId="0" fontId="0" fillId="2" borderId="25" xfId="0" applyFill="1" applyBorder="1"/>
    <xf numFmtId="0" fontId="0" fillId="0" borderId="26" xfId="0" applyBorder="1"/>
    <xf numFmtId="0" fontId="0" fillId="3" borderId="27" xfId="0" applyFill="1" applyBorder="1"/>
    <xf numFmtId="0" fontId="0" fillId="3" borderId="28" xfId="0" applyFill="1" applyBorder="1"/>
    <xf numFmtId="0" fontId="0" fillId="0" borderId="28" xfId="0" applyBorder="1"/>
    <xf numFmtId="0" fontId="0" fillId="0" borderId="27" xfId="0" applyBorder="1"/>
    <xf numFmtId="0" fontId="0" fillId="0" borderId="29" xfId="0" applyBorder="1"/>
    <xf numFmtId="0" fontId="0" fillId="2" borderId="30" xfId="0" applyFill="1" applyBorder="1"/>
    <xf numFmtId="0" fontId="0" fillId="0" borderId="31" xfId="0" applyBorder="1"/>
    <xf numFmtId="0" fontId="0" fillId="0" borderId="32" xfId="0" applyBorder="1"/>
    <xf numFmtId="0" fontId="0" fillId="4" borderId="33" xfId="0" applyFill="1" applyBorder="1"/>
    <xf numFmtId="0" fontId="0" fillId="0" borderId="33" xfId="0" applyBorder="1"/>
    <xf numFmtId="0" fontId="0" fillId="0" borderId="34" xfId="0" applyBorder="1"/>
    <xf numFmtId="0" fontId="0" fillId="3" borderId="17" xfId="0" applyFill="1" applyBorder="1"/>
    <xf numFmtId="0" fontId="0" fillId="3" borderId="15" xfId="0" applyFill="1" applyBorder="1"/>
    <xf numFmtId="0" fontId="0" fillId="2" borderId="25" xfId="0" applyFill="1" applyBorder="1" applyAlignment="1">
      <alignment horizontal="left"/>
    </xf>
    <xf numFmtId="0" fontId="0" fillId="4" borderId="20" xfId="0" applyFill="1" applyBorder="1"/>
    <xf numFmtId="0" fontId="0" fillId="3" borderId="26" xfId="0" applyFill="1" applyBorder="1"/>
    <xf numFmtId="0" fontId="0" fillId="4" borderId="32" xfId="0" applyFill="1" applyBorder="1"/>
    <xf numFmtId="0" fontId="0" fillId="5" borderId="21" xfId="0" applyFill="1" applyBorder="1"/>
    <xf numFmtId="0" fontId="0" fillId="2" borderId="4" xfId="0" applyFill="1" applyBorder="1"/>
    <xf numFmtId="0" fontId="0" fillId="0" borderId="11" xfId="0" applyBorder="1"/>
    <xf numFmtId="0" fontId="0" fillId="0" borderId="12" xfId="0" applyBorder="1"/>
    <xf numFmtId="0" fontId="0" fillId="0" borderId="35" xfId="0" applyBorder="1"/>
    <xf numFmtId="0" fontId="0" fillId="0" borderId="36" xfId="0" applyBorder="1"/>
    <xf numFmtId="0" fontId="0" fillId="0" borderId="37" xfId="0" applyBorder="1"/>
    <xf numFmtId="0" fontId="0" fillId="0" borderId="14" xfId="0" applyBorder="1"/>
    <xf numFmtId="0" fontId="0" fillId="0" borderId="40" xfId="0" applyBorder="1"/>
    <xf numFmtId="0" fontId="0" fillId="3" borderId="41" xfId="0" applyFill="1" applyBorder="1"/>
    <xf numFmtId="0" fontId="0" fillId="3" borderId="42" xfId="0" applyFill="1" applyBorder="1"/>
    <xf numFmtId="0" fontId="0" fillId="3" borderId="43" xfId="0" applyFill="1" applyBorder="1"/>
    <xf numFmtId="0" fontId="0" fillId="3" borderId="18" xfId="0" applyFill="1" applyBorder="1"/>
    <xf numFmtId="0" fontId="0" fillId="0" borderId="46" xfId="0" applyBorder="1"/>
    <xf numFmtId="0" fontId="0" fillId="0" borderId="47" xfId="0" applyBorder="1"/>
    <xf numFmtId="0" fontId="0" fillId="0" borderId="48" xfId="0" applyBorder="1"/>
    <xf numFmtId="0" fontId="0" fillId="0" borderId="49" xfId="0" applyBorder="1"/>
    <xf numFmtId="0" fontId="0" fillId="4" borderId="47" xfId="0" applyFill="1" applyBorder="1"/>
    <xf numFmtId="0" fontId="0" fillId="0" borderId="50" xfId="0" applyBorder="1"/>
    <xf numFmtId="0" fontId="0" fillId="3" borderId="51" xfId="0" applyFill="1" applyBorder="1"/>
    <xf numFmtId="0" fontId="0" fillId="3" borderId="52" xfId="0" applyFill="1" applyBorder="1"/>
    <xf numFmtId="0" fontId="0" fillId="3" borderId="53" xfId="0" applyFill="1" applyBorder="1"/>
    <xf numFmtId="0" fontId="0" fillId="3" borderId="29" xfId="0" applyFill="1" applyBorder="1"/>
    <xf numFmtId="0" fontId="0" fillId="4" borderId="48" xfId="0" applyFill="1" applyBorder="1"/>
    <xf numFmtId="0" fontId="0" fillId="4" borderId="49" xfId="0" applyFill="1" applyBorder="1"/>
    <xf numFmtId="0" fontId="0" fillId="0" borderId="54" xfId="0" applyBorder="1"/>
    <xf numFmtId="0" fontId="0" fillId="0" borderId="55" xfId="0" applyBorder="1"/>
    <xf numFmtId="0" fontId="0" fillId="0" borderId="56" xfId="0" applyBorder="1"/>
    <xf numFmtId="0" fontId="0" fillId="0" borderId="57" xfId="0" applyBorder="1"/>
    <xf numFmtId="0" fontId="0" fillId="3" borderId="14" xfId="0" applyFill="1" applyBorder="1"/>
    <xf numFmtId="0" fontId="0" fillId="3" borderId="58" xfId="0" applyFill="1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61" xfId="0" applyBorder="1"/>
    <xf numFmtId="0" fontId="0" fillId="0" borderId="62" xfId="0" applyBorder="1"/>
    <xf numFmtId="0" fontId="0" fillId="0" borderId="63" xfId="0" applyBorder="1"/>
    <xf numFmtId="0" fontId="0" fillId="0" borderId="64" xfId="0" applyBorder="1"/>
    <xf numFmtId="0" fontId="0" fillId="0" borderId="34" xfId="0" applyBorder="1" applyAlignment="1">
      <alignment horizontal="left" vertical="center"/>
    </xf>
    <xf numFmtId="0" fontId="2" fillId="0" borderId="0" xfId="0" applyFont="1"/>
    <xf numFmtId="168" fontId="0" fillId="0" borderId="0" xfId="0" applyNumberFormat="1"/>
    <xf numFmtId="164" fontId="0" fillId="0" borderId="0" xfId="0" applyNumberFormat="1"/>
    <xf numFmtId="164" fontId="2" fillId="0" borderId="0" xfId="0" applyNumberFormat="1" applyFont="1"/>
    <xf numFmtId="169" fontId="0" fillId="0" borderId="0" xfId="0" applyNumberFormat="1"/>
    <xf numFmtId="0" fontId="0" fillId="0" borderId="0" xfId="0" applyAlignment="1">
      <alignment horizontal="center"/>
    </xf>
    <xf numFmtId="0" fontId="0" fillId="2" borderId="2" xfId="0" applyFill="1" applyBorder="1" applyAlignment="1">
      <alignment horizontal="center" vertical="center" textRotation="180" wrapText="1"/>
    </xf>
    <xf numFmtId="0" fontId="0" fillId="2" borderId="10" xfId="0" applyFill="1" applyBorder="1" applyAlignment="1">
      <alignment horizontal="center" vertical="center" textRotation="180" wrapText="1"/>
    </xf>
    <xf numFmtId="0" fontId="0" fillId="2" borderId="6" xfId="0" applyFill="1" applyBorder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2" borderId="8" xfId="0" applyFill="1" applyBorder="1" applyAlignment="1">
      <alignment horizontal="center" vertical="center" textRotation="180"/>
    </xf>
    <xf numFmtId="0" fontId="0" fillId="2" borderId="7" xfId="0" applyFill="1" applyBorder="1" applyAlignment="1">
      <alignment horizontal="center" vertical="center" textRotation="180"/>
    </xf>
    <xf numFmtId="0" fontId="0" fillId="2" borderId="9" xfId="0" applyFill="1" applyBorder="1" applyAlignment="1">
      <alignment horizontal="center" vertical="center" textRotation="180"/>
    </xf>
    <xf numFmtId="0" fontId="0" fillId="2" borderId="4" xfId="0" applyFill="1" applyBorder="1" applyAlignment="1">
      <alignment horizontal="center" vertical="center" textRotation="180"/>
    </xf>
    <xf numFmtId="0" fontId="0" fillId="2" borderId="30" xfId="0" applyFill="1" applyBorder="1" applyAlignment="1">
      <alignment horizontal="center" vertical="center" textRotation="180"/>
    </xf>
    <xf numFmtId="0" fontId="0" fillId="2" borderId="19" xfId="0" applyFill="1" applyBorder="1" applyAlignment="1">
      <alignment horizontal="left" vertical="center"/>
    </xf>
    <xf numFmtId="0" fontId="0" fillId="2" borderId="24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2" borderId="3" xfId="0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 textRotation="180"/>
    </xf>
    <xf numFmtId="0" fontId="0" fillId="2" borderId="38" xfId="0" applyFill="1" applyBorder="1" applyAlignment="1">
      <alignment horizontal="center" vertical="center" textRotation="180"/>
    </xf>
    <xf numFmtId="0" fontId="0" fillId="2" borderId="44" xfId="0" applyFill="1" applyBorder="1" applyAlignment="1">
      <alignment horizontal="center" vertical="center" textRotation="180"/>
    </xf>
    <xf numFmtId="0" fontId="0" fillId="2" borderId="59" xfId="0" applyFill="1" applyBorder="1" applyAlignment="1">
      <alignment horizontal="center" vertical="center" textRotation="180"/>
    </xf>
    <xf numFmtId="0" fontId="0" fillId="2" borderId="39" xfId="0" applyFill="1" applyBorder="1" applyAlignment="1">
      <alignment horizontal="left" vertical="center"/>
    </xf>
    <xf numFmtId="0" fontId="0" fillId="2" borderId="45" xfId="0" applyFill="1" applyBorder="1" applyAlignment="1">
      <alignment horizontal="left" vertical="center"/>
    </xf>
    <xf numFmtId="0" fontId="0" fillId="2" borderId="60" xfId="0" applyFill="1" applyBorder="1" applyAlignment="1">
      <alignment horizontal="left" vertical="center"/>
    </xf>
  </cellXfs>
  <cellStyles count="1">
    <cellStyle name="Normal" xfId="0" builtinId="0"/>
  </cellStyles>
  <dxfs count="5">
    <dxf>
      <numFmt numFmtId="167" formatCode="0.0&quot; H&quot;;@"/>
      <alignment horizontal="center" vertical="center" textRotation="0" wrapText="0" relativeIndent="0" shrinkToFit="0" readingOrder="0"/>
    </dxf>
    <dxf>
      <alignment vertical="center" textRotation="0" wrapText="1" relativeIndent="0" shrinkToFit="0" readingOrder="0"/>
    </dxf>
    <dxf>
      <alignment vertical="center" textRotation="0" wrapText="0" relativeIndent="0" shrinkToFit="0" readingOrder="0"/>
    </dxf>
    <dxf>
      <numFmt numFmtId="166" formatCode="hh:mm;@"/>
      <alignment horizontal="center" vertical="center" textRotation="0" wrapText="0" relativeIndent="0" shrinkToFit="0" readingOrder="0"/>
    </dxf>
    <dxf>
      <numFmt numFmtId="165" formatCode="dd\.mm\.yyyy;@"/>
      <alignment horizontal="left" vertical="center" textRotation="0" wrapText="0" relativeIndent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Répartition des heures</a:t>
            </a:r>
            <a:endParaRPr/>
          </a:p>
        </c:rich>
      </c:tx>
      <c:layout>
        <c:manualLayout>
          <c:xMode val="edge"/>
          <c:yMode val="edge"/>
          <c:x val="0.37871300000000002"/>
          <c:y val="3.4238999999999999E-2"/>
        </c:manualLayout>
      </c:layout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2731300000000001"/>
          <c:y val="0.22508800000000001"/>
          <c:w val="0.38652999999999998"/>
          <c:h val="0.70695300000000005"/>
        </c:manualLayout>
      </c:layout>
      <c:pieChart>
        <c:varyColors val="1"/>
        <c:ser>
          <c:idx val="0"/>
          <c:order val="0"/>
          <c:tx>
            <c:strRef>
              <c:f>Journal!$H$2</c:f>
              <c:strCache>
                <c:ptCount val="1"/>
                <c:pt idx="0">
                  <c:v>somme</c:v>
                </c:pt>
              </c:strCache>
            </c:strRef>
          </c:tx>
          <c:dPt>
            <c:idx val="0"/>
            <c:bubble3D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B5A-4DE1-B83B-465A6EDAE4DF}"/>
              </c:ext>
            </c:extLst>
          </c:dPt>
          <c:dPt>
            <c:idx val="1"/>
            <c:bubble3D val="0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B5A-4DE1-B83B-465A6EDAE4DF}"/>
              </c:ext>
            </c:extLst>
          </c:dPt>
          <c:dPt>
            <c:idx val="2"/>
            <c:bubble3D val="0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B5A-4DE1-B83B-465A6EDAE4DF}"/>
              </c:ext>
            </c:extLst>
          </c:dPt>
          <c:dPt>
            <c:idx val="3"/>
            <c:bubble3D val="0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B5A-4DE1-B83B-465A6EDAE4DF}"/>
              </c:ext>
            </c:extLst>
          </c:dPt>
          <c:dPt>
            <c:idx val="4"/>
            <c:bubble3D val="0"/>
            <c:spPr bwMode="auto"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 bwMode="auto"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 bwMode="auto"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 bwMode="auto"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 bwMode="auto"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Lbl>
              <c:idx val="0"/>
              <c:layout>
                <c:manualLayout>
                  <c:x val="-2.0778999999999999E-2"/>
                  <c:y val="1.828799999999999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7B5A-4DE1-B83B-465A6EDAE4D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Journal!$G$3:$G$6</c:f>
              <c:strCache>
                <c:ptCount val="4"/>
                <c:pt idx="0">
                  <c:v>Cours</c:v>
                </c:pt>
                <c:pt idx="1">
                  <c:v>Plannification</c:v>
                </c:pt>
                <c:pt idx="2">
                  <c:v>Recherche</c:v>
                </c:pt>
                <c:pt idx="3">
                  <c:v>Maquettage</c:v>
                </c:pt>
              </c:strCache>
            </c:strRef>
          </c:cat>
          <c:val>
            <c:numRef>
              <c:f>Journal!$H$3:$H$11</c:f>
              <c:numCache>
                <c:formatCode>0.0" H";@</c:formatCode>
                <c:ptCount val="9"/>
                <c:pt idx="0">
                  <c:v>3</c:v>
                </c:pt>
                <c:pt idx="1">
                  <c:v>1</c:v>
                </c:pt>
                <c:pt idx="2">
                  <c:v>6</c:v>
                </c:pt>
                <c:pt idx="3">
                  <c:v>4</c:v>
                </c:pt>
                <c:pt idx="4">
                  <c:v>6.9999999999999991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B5A-4DE1-B83B-465A6EDAE4D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prstGeom prst="rect">
          <a:avLst/>
        </a:prstGeom>
        <a:noFill/>
        <a:ln>
          <a:noFill/>
        </a:ln>
        <a:effectLst/>
      </c:spPr>
    </c:plotArea>
    <c:legend>
      <c:legendPos val="r"/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</c:legendEntry>
      <c:layout>
        <c:manualLayout>
          <c:xMode val="edge"/>
          <c:yMode val="edge"/>
          <c:x val="0.697322"/>
          <c:y val="0.30656"/>
          <c:w val="0.28537099999999999"/>
          <c:h val="0.44644400000000001"/>
        </c:manualLayout>
      </c:layout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266"/>
          <c:y val="0.13891000000000001"/>
          <c:w val="0.87156"/>
          <c:h val="0.6822899999999999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  <c:strCache>
                <c:ptCount val="1"/>
                <c:pt idx="0">
                  <c:v>somme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SommeParJours!$A$2:$A$24</c:f>
              <c:strCache>
                <c:ptCount val="10"/>
                <c:pt idx="0">
                  <c:v>20.01.2026</c:v>
                </c:pt>
                <c:pt idx="1">
                  <c:v>27.01.2026</c:v>
                </c:pt>
                <c:pt idx="2">
                  <c:v>30.01.2026</c:v>
                </c:pt>
                <c:pt idx="3">
                  <c:v>03.02.2026</c:v>
                </c:pt>
                <c:pt idx="4">
                  <c:v>3.2.26</c:v>
                </c:pt>
                <c:pt idx="5">
                  <c:v>0.1.00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strCache>
            </c:strRef>
          </c:cat>
          <c:val>
            <c:numRef>
              <c:f>SommeParJours!$B$2:$B$24</c:f>
              <c:numCache>
                <c:formatCode>h:mm;@</c:formatCode>
                <c:ptCount val="23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0.20833333333333331</c:v>
                </c:pt>
                <c:pt idx="4">
                  <c:v>0.20833333333333331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A6-47C2-8845-543876FDE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45490229"/>
        <c:axId val="745490230"/>
      </c:barChart>
      <c:catAx>
        <c:axId val="74549022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overlay val="0"/>
          <c:spPr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fr-FR"/>
          </a:p>
        </c:txPr>
        <c:crossAx val="745490230"/>
        <c:crosses val="autoZero"/>
        <c:auto val="0"/>
        <c:lblAlgn val="ctr"/>
        <c:lblOffset val="100"/>
        <c:noMultiLvlLbl val="1"/>
      </c:catAx>
      <c:valAx>
        <c:axId val="745490230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</a:p>
            </c:rich>
          </c:tx>
          <c:layout>
            <c:manualLayout>
              <c:xMode val="edge"/>
              <c:yMode val="edge"/>
              <c:x val="1.566E-2"/>
              <c:y val="0.32249"/>
            </c:manualLayout>
          </c:layout>
          <c:overlay val="0"/>
          <c:spPr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fr-FR"/>
          </a:p>
        </c:txPr>
        <c:crossAx val="745490229"/>
        <c:crosses val="autoZero"/>
        <c:crossBetween val="between"/>
      </c:valAx>
      <c:spPr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4800000000000001E-2"/>
          <c:y val="0.92556000000000005"/>
          <c:w val="0.15862999999999999"/>
          <c:h val="6.216E-2"/>
        </c:manualLayout>
      </c:layout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>
      <a:off x="1174749" y="293407"/>
      <a:ext cx="7662854" cy="3391085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978000000000001E-2"/>
          <c:y val="0.13891400000000001"/>
          <c:w val="0.91125800000000001"/>
          <c:h val="0.682298999999999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  <c:strCache>
                <c:ptCount val="1"/>
                <c:pt idx="0">
                  <c:v>somme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SommeParJours!$A$2:$A$14</c:f>
              <c:strCache>
                <c:ptCount val="10"/>
                <c:pt idx="0">
                  <c:v>20.01.2026</c:v>
                </c:pt>
                <c:pt idx="1">
                  <c:v>27.01.2026</c:v>
                </c:pt>
                <c:pt idx="2">
                  <c:v>30.01.2026</c:v>
                </c:pt>
                <c:pt idx="3">
                  <c:v>03.02.2026</c:v>
                </c:pt>
                <c:pt idx="4">
                  <c:v>3.2.26</c:v>
                </c:pt>
                <c:pt idx="5">
                  <c:v>0.1.00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strCache>
            </c:strRef>
          </c:cat>
          <c:val>
            <c:numRef>
              <c:f>SommeParJours!$B$2:$B$14</c:f>
              <c:numCache>
                <c:formatCode>h:mm;@</c:formatCode>
                <c:ptCount val="13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0.20833333333333331</c:v>
                </c:pt>
                <c:pt idx="4">
                  <c:v>0.20833333333333331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D8-495F-A0BC-424C1C96F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overlay val="0"/>
          <c:spPr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</a:p>
            </c:rich>
          </c:tx>
          <c:layout>
            <c:manualLayout>
              <c:xMode val="edge"/>
              <c:yMode val="edge"/>
              <c:x val="1.5668000000000001E-2"/>
              <c:y val="0.322494"/>
            </c:manualLayout>
          </c:layout>
          <c:overlay val="0"/>
          <c:spPr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4808999999999999E-2"/>
          <c:y val="0.92556099999999997"/>
          <c:w val="0.15863099999999999"/>
          <c:h val="6.2167E-2"/>
        </c:manualLayout>
      </c:layout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493058</xdr:colOff>
      <xdr:row>20</xdr:row>
      <xdr:rowOff>26894</xdr:rowOff>
    </xdr:from>
    <xdr:to>
      <xdr:col>10</xdr:col>
      <xdr:colOff>925037</xdr:colOff>
      <xdr:row>32</xdr:row>
      <xdr:rowOff>161277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412749</xdr:colOff>
      <xdr:row>1</xdr:row>
      <xdr:rowOff>110527</xdr:rowOff>
    </xdr:from>
    <xdr:to>
      <xdr:col>11</xdr:col>
      <xdr:colOff>186362</xdr:colOff>
      <xdr:row>20</xdr:row>
      <xdr:rowOff>26892</xdr:rowOff>
    </xdr:to>
    <xdr:graphicFrame macro="">
      <xdr:nvGraphicFramePr>
        <xdr:cNvPr id="1871765076" name="Graphique 1871765075">
          <a:extLst>
            <a:ext uri="{FF2B5EF4-FFF2-40B4-BE49-F238E27FC236}">
              <a16:creationId xmlns:a16="http://schemas.microsoft.com/office/drawing/2014/main" id="{00000000-0008-0000-0100-000054DE90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83820</xdr:colOff>
      <xdr:row>2</xdr:row>
      <xdr:rowOff>83820</xdr:rowOff>
    </xdr:from>
    <xdr:to>
      <xdr:col>16</xdr:col>
      <xdr:colOff>320040</xdr:colOff>
      <xdr:row>23</xdr:row>
      <xdr:rowOff>22860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Journal" displayName="Journal" ref="B2:E42">
  <autoFilter ref="B2:E42" xr:uid="{00000000-0009-0000-0100-000001000000}"/>
  <tableColumns count="4">
    <tableColumn id="1" xr3:uid="{00000000-0010-0000-0000-000001000000}" name="date" dataDxfId="4"/>
    <tableColumn id="2" xr3:uid="{00000000-0010-0000-0000-000002000000}" name="Temps" dataDxfId="3"/>
    <tableColumn id="3" xr3:uid="{00000000-0010-0000-0000-000003000000}" name="type de travail" dataDxfId="2"/>
    <tableColumn id="4" xr3:uid="{00000000-0010-0000-0000-000004000000}" name="description" dataDxfId="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ypes" displayName="types" ref="G2:H12">
  <autoFilter ref="G2:H12" xr:uid="{00000000-0009-0000-0100-000002000000}"/>
  <tableColumns count="2">
    <tableColumn id="1" xr3:uid="{00000000-0010-0000-0100-000001000000}" name="type de travail"/>
    <tableColumn id="2" xr3:uid="{00000000-0010-0000-0100-000002000000}" name="somme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B2:J78"/>
  <sheetViews>
    <sheetView tabSelected="1" workbookViewId="0">
      <selection activeCell="G14" sqref="G14"/>
    </sheetView>
  </sheetViews>
  <sheetFormatPr baseColWidth="10" defaultColWidth="8.88671875" defaultRowHeight="14.4" x14ac:dyDescent="0.3"/>
  <cols>
    <col min="2" max="2" width="11.33203125" customWidth="1"/>
    <col min="3" max="3" width="7.6640625" customWidth="1"/>
    <col min="4" max="4" width="15.21875" bestFit="1" customWidth="1"/>
    <col min="5" max="5" width="46.5546875" customWidth="1"/>
    <col min="6" max="6" width="2" customWidth="1"/>
    <col min="7" max="7" width="17.33203125" customWidth="1"/>
    <col min="8" max="8" width="12.44140625" customWidth="1"/>
  </cols>
  <sheetData>
    <row r="2" spans="2:10" x14ac:dyDescent="0.3">
      <c r="B2" t="s">
        <v>0</v>
      </c>
      <c r="C2" s="1" t="s">
        <v>1</v>
      </c>
      <c r="D2" t="s">
        <v>2</v>
      </c>
      <c r="E2" t="s">
        <v>3</v>
      </c>
      <c r="G2" t="s">
        <v>2</v>
      </c>
      <c r="H2" s="2" t="s">
        <v>4</v>
      </c>
    </row>
    <row r="3" spans="2:10" x14ac:dyDescent="0.3">
      <c r="B3" s="3" t="s">
        <v>5</v>
      </c>
      <c r="C3" s="4">
        <v>0.125</v>
      </c>
      <c r="D3" s="5" t="s">
        <v>6</v>
      </c>
      <c r="E3" s="6" t="s">
        <v>7</v>
      </c>
      <c r="G3" s="7" t="s">
        <v>6</v>
      </c>
      <c r="H3" s="8">
        <f>SUMIF(Journal[type de travail],types[[#This Row],[type de travail]],Journal[Temps])*24</f>
        <v>3</v>
      </c>
      <c r="J3" s="9"/>
    </row>
    <row r="4" spans="2:10" x14ac:dyDescent="0.3">
      <c r="B4" s="3" t="s">
        <v>5</v>
      </c>
      <c r="C4" s="4">
        <v>4.1666666666666664E-2</v>
      </c>
      <c r="D4" s="5" t="s">
        <v>8</v>
      </c>
      <c r="E4" s="6" t="s">
        <v>9</v>
      </c>
      <c r="G4" t="s">
        <v>10</v>
      </c>
      <c r="H4" s="8">
        <f>SUMIF(Journal[type de travail],types[[#This Row],[type de travail]],Journal[Temps])*24</f>
        <v>1</v>
      </c>
    </row>
    <row r="5" spans="2:10" ht="43.2" x14ac:dyDescent="0.3">
      <c r="B5" s="3" t="s">
        <v>11</v>
      </c>
      <c r="C5" s="4">
        <v>0.125</v>
      </c>
      <c r="D5" s="5" t="s">
        <v>12</v>
      </c>
      <c r="E5" s="6" t="s">
        <v>13</v>
      </c>
      <c r="G5" s="7" t="s">
        <v>8</v>
      </c>
      <c r="H5" s="8">
        <f>SUMIF(Journal[type de travail],types[[#This Row],[type de travail]],Journal[Temps])*24</f>
        <v>6</v>
      </c>
    </row>
    <row r="6" spans="2:10" ht="28.8" x14ac:dyDescent="0.3">
      <c r="B6" s="3" t="s">
        <v>11</v>
      </c>
      <c r="C6" s="4">
        <v>4.1666666666666664E-2</v>
      </c>
      <c r="D6" s="5" t="s">
        <v>8</v>
      </c>
      <c r="E6" s="6" t="s">
        <v>14</v>
      </c>
      <c r="G6" s="7" t="s">
        <v>15</v>
      </c>
      <c r="H6" s="8">
        <f>SUMIF(Journal[type de travail],types[[#This Row],[type de travail]],Journal[Temps])*24</f>
        <v>4</v>
      </c>
    </row>
    <row r="7" spans="2:10" x14ac:dyDescent="0.3">
      <c r="B7" s="3" t="s">
        <v>11</v>
      </c>
      <c r="C7" s="4">
        <v>4.1666666666666664E-2</v>
      </c>
      <c r="D7" s="5" t="s">
        <v>8</v>
      </c>
      <c r="E7" s="6" t="s">
        <v>16</v>
      </c>
      <c r="G7" s="7" t="s">
        <v>12</v>
      </c>
      <c r="H7" s="8">
        <f>SUMIF(Journal[type de travail],types[[#This Row],[type de travail]],Journal[Temps])*24</f>
        <v>6.9999999999999991</v>
      </c>
    </row>
    <row r="8" spans="2:10" ht="28.8" x14ac:dyDescent="0.3">
      <c r="B8" s="3" t="s">
        <v>17</v>
      </c>
      <c r="C8" s="4">
        <v>0.125</v>
      </c>
      <c r="D8" s="5" t="s">
        <v>8</v>
      </c>
      <c r="E8" s="6" t="s">
        <v>18</v>
      </c>
      <c r="G8" s="7" t="s">
        <v>19</v>
      </c>
      <c r="H8" s="8">
        <f>SUMIF(Journal[type de travail],types[[#This Row],[type de travail]],Journal[Temps])*24</f>
        <v>0</v>
      </c>
    </row>
    <row r="9" spans="2:10" x14ac:dyDescent="0.3">
      <c r="B9" s="3" t="s">
        <v>17</v>
      </c>
      <c r="C9" s="4">
        <v>0.16666666666666666</v>
      </c>
      <c r="D9" s="5" t="s">
        <v>15</v>
      </c>
      <c r="E9" s="6" t="s">
        <v>20</v>
      </c>
      <c r="G9" s="7" t="s">
        <v>21</v>
      </c>
      <c r="H9" s="8">
        <f>SUMIF(Journal[type de travail],types[[#This Row],[type de travail]],Journal[Temps])*24</f>
        <v>0</v>
      </c>
    </row>
    <row r="10" spans="2:10" x14ac:dyDescent="0.3">
      <c r="B10" s="3" t="s">
        <v>22</v>
      </c>
      <c r="C10" s="4">
        <v>8.3333333333333329E-2</v>
      </c>
      <c r="D10" s="5" t="s">
        <v>12</v>
      </c>
      <c r="E10" s="6" t="s">
        <v>23</v>
      </c>
      <c r="G10" s="7"/>
      <c r="H10" s="8">
        <f>SUMIF(Journal[type de travail],types[[#This Row],[type de travail]],Journal[Temps])*24</f>
        <v>0</v>
      </c>
    </row>
    <row r="11" spans="2:10" ht="28.8" x14ac:dyDescent="0.3">
      <c r="B11" s="3" t="s">
        <v>22</v>
      </c>
      <c r="C11" s="4">
        <v>4.1666666666666664E-2</v>
      </c>
      <c r="D11" s="5" t="s">
        <v>12</v>
      </c>
      <c r="E11" s="6" t="s">
        <v>24</v>
      </c>
      <c r="G11" s="10" t="s">
        <v>25</v>
      </c>
      <c r="H11" s="11">
        <f>SUMIF(Journal[type de travail],types[[#This Row],[type de travail]],Journal[Temps])*24</f>
        <v>0</v>
      </c>
    </row>
    <row r="12" spans="2:10" x14ac:dyDescent="0.3">
      <c r="B12" s="3" t="s">
        <v>22</v>
      </c>
      <c r="C12" s="4">
        <v>4.1666666666666664E-2</v>
      </c>
      <c r="D12" s="5" t="s">
        <v>10</v>
      </c>
      <c r="E12" s="6" t="s">
        <v>26</v>
      </c>
      <c r="G12" t="s">
        <v>27</v>
      </c>
      <c r="H12" s="8">
        <f>SUM(H3:H11)</f>
        <v>21</v>
      </c>
    </row>
    <row r="13" spans="2:10" ht="28.8" x14ac:dyDescent="0.3">
      <c r="B13" s="3">
        <v>46056</v>
      </c>
      <c r="C13" s="4">
        <v>4.1666666666666664E-2</v>
      </c>
      <c r="D13" s="5" t="s">
        <v>12</v>
      </c>
      <c r="E13" s="6" t="s">
        <v>97</v>
      </c>
      <c r="H13" s="8"/>
    </row>
    <row r="14" spans="2:10" x14ac:dyDescent="0.3">
      <c r="B14" s="3"/>
      <c r="C14" s="4"/>
      <c r="D14" s="5"/>
      <c r="E14" s="6"/>
    </row>
    <row r="15" spans="2:10" x14ac:dyDescent="0.3">
      <c r="B15" s="3"/>
      <c r="C15" s="4"/>
      <c r="D15" s="5"/>
      <c r="E15" s="6"/>
    </row>
    <row r="16" spans="2:10" x14ac:dyDescent="0.3">
      <c r="B16" s="3"/>
      <c r="C16" s="4"/>
      <c r="D16" s="5"/>
      <c r="E16" s="6"/>
    </row>
    <row r="17" spans="2:5" x14ac:dyDescent="0.3">
      <c r="B17" s="3"/>
      <c r="C17" s="4"/>
      <c r="D17" s="5"/>
      <c r="E17" s="6"/>
    </row>
    <row r="18" spans="2:5" x14ac:dyDescent="0.3">
      <c r="B18" s="3"/>
      <c r="C18" s="4"/>
      <c r="D18" s="5"/>
      <c r="E18" s="6"/>
    </row>
    <row r="19" spans="2:5" x14ac:dyDescent="0.3">
      <c r="B19" s="3"/>
      <c r="C19" s="4"/>
      <c r="D19" s="5"/>
      <c r="E19" s="6"/>
    </row>
    <row r="20" spans="2:5" x14ac:dyDescent="0.3">
      <c r="B20" s="3"/>
      <c r="C20" s="4"/>
      <c r="D20" s="5"/>
      <c r="E20" s="6"/>
    </row>
    <row r="21" spans="2:5" x14ac:dyDescent="0.3">
      <c r="B21" s="3"/>
      <c r="C21" s="4"/>
      <c r="D21" s="5"/>
      <c r="E21" s="6"/>
    </row>
    <row r="22" spans="2:5" x14ac:dyDescent="0.3">
      <c r="B22" s="3"/>
      <c r="C22" s="4"/>
      <c r="D22" s="5"/>
      <c r="E22" s="6"/>
    </row>
    <row r="23" spans="2:5" x14ac:dyDescent="0.3">
      <c r="B23" s="3"/>
      <c r="C23" s="4"/>
      <c r="D23" s="5"/>
      <c r="E23" s="6"/>
    </row>
    <row r="24" spans="2:5" x14ac:dyDescent="0.3">
      <c r="B24" s="3"/>
      <c r="C24" s="4"/>
      <c r="D24" s="5"/>
      <c r="E24" s="6"/>
    </row>
    <row r="25" spans="2:5" x14ac:dyDescent="0.3">
      <c r="B25" s="12"/>
      <c r="C25" s="4"/>
      <c r="D25" s="5"/>
      <c r="E25" s="6"/>
    </row>
    <row r="26" spans="2:5" x14ac:dyDescent="0.3">
      <c r="B26" s="12"/>
      <c r="C26" s="4"/>
      <c r="D26" s="5"/>
      <c r="E26" s="6"/>
    </row>
    <row r="27" spans="2:5" x14ac:dyDescent="0.3">
      <c r="B27" s="12"/>
      <c r="C27" s="4"/>
      <c r="D27" s="5"/>
      <c r="E27" s="6"/>
    </row>
    <row r="28" spans="2:5" x14ac:dyDescent="0.3">
      <c r="B28" s="12"/>
      <c r="C28" s="4"/>
      <c r="D28" s="5"/>
      <c r="E28" s="6"/>
    </row>
    <row r="29" spans="2:5" x14ac:dyDescent="0.3">
      <c r="B29" s="12"/>
      <c r="C29" s="4"/>
      <c r="D29" s="5"/>
      <c r="E29" s="6"/>
    </row>
    <row r="30" spans="2:5" x14ac:dyDescent="0.3">
      <c r="B30" s="12"/>
      <c r="C30" s="4"/>
      <c r="D30" s="5"/>
      <c r="E30" s="6"/>
    </row>
    <row r="31" spans="2:5" x14ac:dyDescent="0.3">
      <c r="B31" s="12"/>
      <c r="C31" s="4"/>
      <c r="D31" s="5"/>
      <c r="E31" s="6"/>
    </row>
    <row r="32" spans="2:5" x14ac:dyDescent="0.3">
      <c r="B32" s="12"/>
      <c r="C32" s="4"/>
      <c r="D32" s="5"/>
      <c r="E32" s="6"/>
    </row>
    <row r="33" spans="2:5" x14ac:dyDescent="0.3">
      <c r="B33" s="12"/>
      <c r="C33" s="4"/>
      <c r="D33" s="5"/>
      <c r="E33" s="6"/>
    </row>
    <row r="34" spans="2:5" x14ac:dyDescent="0.3">
      <c r="B34" s="12"/>
      <c r="C34" s="4"/>
      <c r="D34" s="5"/>
      <c r="E34" s="6"/>
    </row>
    <row r="35" spans="2:5" x14ac:dyDescent="0.3">
      <c r="B35" s="12"/>
      <c r="C35" s="4"/>
      <c r="D35" s="6"/>
      <c r="E35" s="6"/>
    </row>
    <row r="36" spans="2:5" x14ac:dyDescent="0.3">
      <c r="B36" s="12"/>
      <c r="C36" s="4"/>
      <c r="D36" s="5"/>
      <c r="E36" s="6"/>
    </row>
    <row r="37" spans="2:5" x14ac:dyDescent="0.3">
      <c r="B37" s="12"/>
      <c r="C37" s="4"/>
      <c r="D37" s="5"/>
      <c r="E37" s="6"/>
    </row>
    <row r="38" spans="2:5" x14ac:dyDescent="0.3">
      <c r="B38" s="12"/>
      <c r="C38" s="4"/>
      <c r="D38" s="5"/>
      <c r="E38" s="6"/>
    </row>
    <row r="39" spans="2:5" x14ac:dyDescent="0.3">
      <c r="B39" s="12"/>
      <c r="C39" s="4"/>
      <c r="D39" s="5"/>
      <c r="E39" s="6"/>
    </row>
    <row r="40" spans="2:5" x14ac:dyDescent="0.3">
      <c r="B40" s="12"/>
      <c r="C40" s="4"/>
      <c r="D40" s="5"/>
      <c r="E40" s="6"/>
    </row>
    <row r="41" spans="2:5" x14ac:dyDescent="0.3">
      <c r="B41" s="12"/>
      <c r="C41" s="4"/>
      <c r="D41" s="5"/>
      <c r="E41" s="6"/>
    </row>
    <row r="42" spans="2:5" x14ac:dyDescent="0.3">
      <c r="B42" s="12"/>
      <c r="C42" s="4"/>
      <c r="D42" s="5"/>
      <c r="E42" s="6"/>
    </row>
    <row r="43" spans="2:5" x14ac:dyDescent="0.3">
      <c r="B43" s="12"/>
      <c r="C43" s="4"/>
      <c r="D43" s="5"/>
      <c r="E43" s="6"/>
    </row>
    <row r="44" spans="2:5" x14ac:dyDescent="0.3">
      <c r="B44" s="12"/>
      <c r="C44" s="4"/>
      <c r="D44" s="5"/>
      <c r="E44" s="6"/>
    </row>
    <row r="45" spans="2:5" x14ac:dyDescent="0.3">
      <c r="B45" s="12"/>
      <c r="C45" s="4"/>
      <c r="D45" s="5"/>
      <c r="E45" s="6"/>
    </row>
    <row r="46" spans="2:5" x14ac:dyDescent="0.3">
      <c r="B46" s="5"/>
      <c r="C46" s="5"/>
      <c r="D46" s="5"/>
      <c r="E46" s="5"/>
    </row>
    <row r="47" spans="2:5" x14ac:dyDescent="0.3">
      <c r="B47" s="5"/>
      <c r="C47" s="5"/>
      <c r="D47" s="5"/>
      <c r="E47" s="5"/>
    </row>
    <row r="48" spans="2:5" x14ac:dyDescent="0.3">
      <c r="B48" s="5"/>
      <c r="C48" s="5"/>
      <c r="D48" s="5"/>
      <c r="E48" s="5"/>
    </row>
    <row r="49" spans="2:5" x14ac:dyDescent="0.3">
      <c r="B49" s="5"/>
      <c r="C49" s="5"/>
      <c r="D49" s="5"/>
      <c r="E49" s="5"/>
    </row>
    <row r="50" spans="2:5" x14ac:dyDescent="0.3">
      <c r="B50" s="5"/>
      <c r="C50" s="5"/>
      <c r="D50" s="5"/>
      <c r="E50" s="5"/>
    </row>
    <row r="51" spans="2:5" x14ac:dyDescent="0.3">
      <c r="B51" s="5"/>
      <c r="C51" s="5"/>
      <c r="D51" s="5"/>
      <c r="E51" s="5"/>
    </row>
    <row r="52" spans="2:5" x14ac:dyDescent="0.3">
      <c r="B52" s="5"/>
      <c r="C52" s="5"/>
      <c r="D52" s="5"/>
      <c r="E52" s="5"/>
    </row>
    <row r="53" spans="2:5" x14ac:dyDescent="0.3">
      <c r="B53" s="5"/>
      <c r="C53" s="5"/>
      <c r="D53" s="5"/>
      <c r="E53" s="5"/>
    </row>
    <row r="54" spans="2:5" x14ac:dyDescent="0.3">
      <c r="B54" s="5"/>
      <c r="C54" s="5"/>
      <c r="D54" s="5"/>
      <c r="E54" s="5"/>
    </row>
    <row r="55" spans="2:5" x14ac:dyDescent="0.3">
      <c r="B55" s="5"/>
      <c r="C55" s="5"/>
      <c r="D55" s="5"/>
      <c r="E55" s="5"/>
    </row>
    <row r="56" spans="2:5" x14ac:dyDescent="0.3">
      <c r="B56" s="5"/>
      <c r="C56" s="5"/>
      <c r="D56" s="5"/>
      <c r="E56" s="5"/>
    </row>
    <row r="57" spans="2:5" x14ac:dyDescent="0.3">
      <c r="B57" s="5"/>
      <c r="C57" s="5"/>
      <c r="D57" s="5"/>
      <c r="E57" s="5"/>
    </row>
    <row r="58" spans="2:5" x14ac:dyDescent="0.3">
      <c r="B58" s="5"/>
      <c r="C58" s="5"/>
      <c r="D58" s="5"/>
      <c r="E58" s="5"/>
    </row>
    <row r="59" spans="2:5" x14ac:dyDescent="0.3">
      <c r="B59" s="5"/>
      <c r="C59" s="5"/>
      <c r="D59" s="5"/>
      <c r="E59" s="5"/>
    </row>
    <row r="60" spans="2:5" x14ac:dyDescent="0.3">
      <c r="B60" s="5"/>
      <c r="C60" s="5"/>
      <c r="D60" s="5"/>
      <c r="E60" s="5"/>
    </row>
    <row r="61" spans="2:5" x14ac:dyDescent="0.3">
      <c r="B61" s="5"/>
      <c r="C61" s="5"/>
      <c r="D61" s="5"/>
      <c r="E61" s="5"/>
    </row>
    <row r="62" spans="2:5" x14ac:dyDescent="0.3">
      <c r="B62" s="5"/>
      <c r="C62" s="5"/>
      <c r="D62" s="5"/>
      <c r="E62" s="5"/>
    </row>
    <row r="63" spans="2:5" x14ac:dyDescent="0.3">
      <c r="B63" s="5"/>
      <c r="C63" s="5"/>
      <c r="D63" s="5"/>
      <c r="E63" s="5"/>
    </row>
    <row r="64" spans="2:5" x14ac:dyDescent="0.3">
      <c r="B64" s="5"/>
      <c r="C64" s="5"/>
      <c r="D64" s="5"/>
      <c r="E64" s="5"/>
    </row>
    <row r="65" spans="2:5" x14ac:dyDescent="0.3">
      <c r="B65" s="5"/>
      <c r="C65" s="5"/>
      <c r="D65" s="5"/>
      <c r="E65" s="5"/>
    </row>
    <row r="66" spans="2:5" x14ac:dyDescent="0.3">
      <c r="B66" s="5"/>
      <c r="C66" s="5"/>
      <c r="D66" s="5"/>
      <c r="E66" s="5"/>
    </row>
    <row r="67" spans="2:5" x14ac:dyDescent="0.3">
      <c r="B67" s="5"/>
      <c r="C67" s="5"/>
      <c r="D67" s="5"/>
      <c r="E67" s="5"/>
    </row>
    <row r="68" spans="2:5" x14ac:dyDescent="0.3">
      <c r="B68" s="5"/>
      <c r="C68" s="5"/>
      <c r="D68" s="5"/>
      <c r="E68" s="5"/>
    </row>
    <row r="69" spans="2:5" x14ac:dyDescent="0.3">
      <c r="B69" s="5"/>
      <c r="C69" s="5"/>
      <c r="D69" s="5"/>
      <c r="E69" s="5"/>
    </row>
    <row r="70" spans="2:5" x14ac:dyDescent="0.3">
      <c r="B70" s="5"/>
      <c r="C70" s="5"/>
      <c r="D70" s="5"/>
      <c r="E70" s="5"/>
    </row>
    <row r="71" spans="2:5" x14ac:dyDescent="0.3">
      <c r="B71" s="5"/>
      <c r="C71" s="5"/>
      <c r="D71" s="5"/>
      <c r="E71" s="5"/>
    </row>
    <row r="72" spans="2:5" x14ac:dyDescent="0.3">
      <c r="B72" s="5"/>
      <c r="C72" s="5"/>
      <c r="D72" s="5"/>
      <c r="E72" s="5"/>
    </row>
    <row r="73" spans="2:5" x14ac:dyDescent="0.3">
      <c r="B73" s="5"/>
      <c r="C73" s="5"/>
      <c r="D73" s="5"/>
      <c r="E73" s="5"/>
    </row>
    <row r="74" spans="2:5" x14ac:dyDescent="0.3">
      <c r="B74" s="5"/>
      <c r="C74" s="5"/>
      <c r="D74" s="5"/>
      <c r="E74" s="5"/>
    </row>
    <row r="75" spans="2:5" x14ac:dyDescent="0.3">
      <c r="B75" s="5"/>
      <c r="C75" s="5"/>
      <c r="D75" s="5"/>
      <c r="E75" s="5"/>
    </row>
    <row r="76" spans="2:5" x14ac:dyDescent="0.3">
      <c r="B76" s="5"/>
      <c r="C76" s="5"/>
      <c r="D76" s="5"/>
      <c r="E76" s="5"/>
    </row>
    <row r="77" spans="2:5" x14ac:dyDescent="0.3">
      <c r="B77" s="5"/>
      <c r="C77" s="5"/>
      <c r="D77" s="5"/>
      <c r="E77" s="5"/>
    </row>
    <row r="78" spans="2:5" x14ac:dyDescent="0.3">
      <c r="B78" s="5"/>
      <c r="C78" s="5"/>
      <c r="D78" s="5"/>
      <c r="E78" s="5"/>
    </row>
  </sheetData>
  <dataValidations count="1">
    <dataValidation type="list" allowBlank="1" showInputMessage="1" showErrorMessage="1" sqref="D20:D23 D3:D12 D14:D18" xr:uid="{0060003B-00C6-4B37-A119-005200D8001F}">
      <formula1>$G$3:$G$7</formula1>
    </dataValidation>
  </dataValidations>
  <pageMargins left="0.7" right="0.7" top="0.75" bottom="0.75" header="0.3" footer="0.3"/>
  <pageSetup paperSize="9" orientation="landscape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0.59999389629810485"/>
  </sheetPr>
  <dimension ref="A1"/>
  <sheetViews>
    <sheetView zoomScale="85" workbookViewId="0"/>
  </sheetViews>
  <sheetFormatPr baseColWidth="10" defaultRowHeight="14.4" x14ac:dyDescent="0.3"/>
  <cols>
    <col min="2" max="3" width="11.5546875" customWidth="1"/>
    <col min="11" max="11" width="15.109375" customWidth="1"/>
  </cols>
  <sheetData/>
  <pageMargins left="0.7" right="0.7" top="0.75" bottom="0.75" header="0.3" footer="0.3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W57"/>
  <sheetViews>
    <sheetView workbookViewId="0"/>
  </sheetViews>
  <sheetFormatPr baseColWidth="10" defaultColWidth="8.88671875" defaultRowHeight="14.4" x14ac:dyDescent="0.3"/>
  <cols>
    <col min="3" max="3" width="31.33203125" bestFit="1"/>
    <col min="5" max="49" width="3.44140625" customWidth="1"/>
  </cols>
  <sheetData>
    <row r="1" spans="2:49" ht="30.45" customHeight="1" x14ac:dyDescent="0.3">
      <c r="E1" s="108" t="s">
        <v>28</v>
      </c>
      <c r="F1" s="108"/>
      <c r="G1" s="108"/>
      <c r="H1" s="108" t="s">
        <v>29</v>
      </c>
      <c r="I1" s="108"/>
      <c r="J1" s="108"/>
      <c r="K1" s="108"/>
      <c r="L1" s="108"/>
      <c r="M1" s="108"/>
      <c r="N1" s="108"/>
      <c r="O1" s="108" t="s">
        <v>30</v>
      </c>
      <c r="P1" s="108"/>
      <c r="Q1" s="108"/>
      <c r="R1" s="108"/>
      <c r="S1" s="108"/>
      <c r="T1" s="108"/>
      <c r="U1" s="108"/>
      <c r="V1" s="108"/>
      <c r="W1" s="108" t="s">
        <v>31</v>
      </c>
      <c r="X1" s="108"/>
      <c r="Y1" s="108"/>
      <c r="Z1" s="108"/>
      <c r="AA1" s="108" t="s">
        <v>32</v>
      </c>
      <c r="AB1" s="108"/>
      <c r="AC1" s="108"/>
      <c r="AD1" s="108"/>
      <c r="AE1" s="108"/>
      <c r="AF1" s="108" t="s">
        <v>33</v>
      </c>
      <c r="AG1" s="108"/>
      <c r="AH1" s="108"/>
      <c r="AI1" s="108"/>
      <c r="AJ1" s="108"/>
    </row>
    <row r="2" spans="2:49" ht="98.55" customHeight="1" x14ac:dyDescent="0.3">
      <c r="B2" s="13" t="s">
        <v>34</v>
      </c>
      <c r="C2" s="14" t="s">
        <v>35</v>
      </c>
      <c r="D2" s="15" t="s">
        <v>36</v>
      </c>
      <c r="E2" s="16" t="s">
        <v>5</v>
      </c>
      <c r="F2" s="16" t="s">
        <v>37</v>
      </c>
      <c r="G2" s="16" t="s">
        <v>11</v>
      </c>
      <c r="H2" s="16" t="s">
        <v>38</v>
      </c>
      <c r="I2" s="16" t="s">
        <v>22</v>
      </c>
      <c r="J2" s="16" t="s">
        <v>39</v>
      </c>
      <c r="K2" s="16" t="s">
        <v>40</v>
      </c>
      <c r="L2" s="17" t="s">
        <v>41</v>
      </c>
      <c r="M2" s="16" t="s">
        <v>42</v>
      </c>
      <c r="N2" s="16" t="s">
        <v>43</v>
      </c>
      <c r="O2" s="16" t="s">
        <v>44</v>
      </c>
      <c r="P2" s="16" t="s">
        <v>45</v>
      </c>
      <c r="Q2" s="16" t="s">
        <v>40</v>
      </c>
      <c r="R2" s="16" t="s">
        <v>46</v>
      </c>
      <c r="S2" s="16" t="s">
        <v>47</v>
      </c>
      <c r="T2" s="16" t="s">
        <v>48</v>
      </c>
      <c r="U2" s="16" t="s">
        <v>49</v>
      </c>
      <c r="V2" s="16" t="s">
        <v>50</v>
      </c>
      <c r="W2" s="17" t="s">
        <v>51</v>
      </c>
      <c r="X2" s="16" t="s">
        <v>52</v>
      </c>
      <c r="Y2" s="16" t="s">
        <v>53</v>
      </c>
      <c r="Z2" s="16" t="s">
        <v>54</v>
      </c>
      <c r="AA2" s="18" t="s">
        <v>55</v>
      </c>
      <c r="AB2" s="18" t="s">
        <v>56</v>
      </c>
      <c r="AC2" s="18" t="s">
        <v>57</v>
      </c>
      <c r="AD2" s="19" t="s">
        <v>58</v>
      </c>
      <c r="AE2" s="20" t="s">
        <v>59</v>
      </c>
      <c r="AF2" s="20" t="s">
        <v>60</v>
      </c>
      <c r="AG2" s="20" t="s">
        <v>61</v>
      </c>
      <c r="AH2" s="20" t="s">
        <v>62</v>
      </c>
      <c r="AI2" s="20" t="s">
        <v>63</v>
      </c>
      <c r="AJ2" s="20" t="s">
        <v>64</v>
      </c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</row>
    <row r="55" spans="3:4" x14ac:dyDescent="0.3">
      <c r="D55" s="22"/>
    </row>
    <row r="56" spans="3:4" x14ac:dyDescent="0.3">
      <c r="C56" s="23"/>
      <c r="D56" s="24"/>
    </row>
    <row r="57" spans="3:4" x14ac:dyDescent="0.3">
      <c r="C57" s="23"/>
      <c r="D57" s="25"/>
    </row>
  </sheetData>
  <mergeCells count="6">
    <mergeCell ref="AF1:AJ1"/>
    <mergeCell ref="E1:G1"/>
    <mergeCell ref="H1:N1"/>
    <mergeCell ref="O1:V1"/>
    <mergeCell ref="W1:Z1"/>
    <mergeCell ref="AA1:AE1"/>
  </mergeCells>
  <pageMargins left="0.70078740157480324" right="0.70078740157480324" top="0.75196850393700787" bottom="0.75196850393700787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/>
  </sheetPr>
  <dimension ref="B1:AD35"/>
  <sheetViews>
    <sheetView zoomScale="115" workbookViewId="0"/>
  </sheetViews>
  <sheetFormatPr baseColWidth="10" defaultColWidth="8.88671875" defaultRowHeight="14.4" x14ac:dyDescent="0.3"/>
  <cols>
    <col min="1" max="1" width="2.88671875" customWidth="1"/>
    <col min="2" max="2" width="6.5546875" customWidth="1"/>
    <col min="3" max="3" width="31.21875" bestFit="1" customWidth="1"/>
    <col min="4" max="4" width="3.33203125" customWidth="1"/>
    <col min="5" max="19" width="4.33203125" customWidth="1"/>
    <col min="20" max="20" width="3.21875" customWidth="1"/>
    <col min="21" max="21" width="2.88671875" customWidth="1"/>
    <col min="22" max="22" width="17.21875" customWidth="1"/>
    <col min="30" max="30" width="10.109375" bestFit="1" customWidth="1"/>
  </cols>
  <sheetData>
    <row r="1" spans="2:30" x14ac:dyDescent="0.3">
      <c r="B1" s="26"/>
    </row>
    <row r="2" spans="2:30" ht="56.4" customHeight="1" x14ac:dyDescent="0.3">
      <c r="B2" s="109" t="s">
        <v>34</v>
      </c>
      <c r="C2" s="111" t="s">
        <v>35</v>
      </c>
      <c r="D2" s="15" t="s">
        <v>65</v>
      </c>
      <c r="E2" s="27" t="s">
        <v>66</v>
      </c>
      <c r="F2" s="113" t="s">
        <v>67</v>
      </c>
      <c r="G2" s="113"/>
      <c r="H2" s="113"/>
      <c r="I2" s="114"/>
      <c r="J2" s="113" t="s">
        <v>68</v>
      </c>
      <c r="K2" s="113"/>
      <c r="L2" s="113"/>
      <c r="M2" s="114"/>
      <c r="N2" s="113" t="s">
        <v>28</v>
      </c>
      <c r="O2" s="113"/>
      <c r="P2" s="113"/>
      <c r="Q2" s="114"/>
      <c r="R2" s="113" t="s">
        <v>29</v>
      </c>
      <c r="S2" s="115"/>
      <c r="AD2" s="28"/>
    </row>
    <row r="3" spans="2:30" x14ac:dyDescent="0.3">
      <c r="B3" s="110"/>
      <c r="C3" s="112"/>
      <c r="D3" s="29" t="s">
        <v>69</v>
      </c>
      <c r="E3" s="30">
        <v>4</v>
      </c>
      <c r="F3" s="31">
        <v>1</v>
      </c>
      <c r="G3" s="32">
        <v>2</v>
      </c>
      <c r="H3" s="32">
        <v>3</v>
      </c>
      <c r="I3" s="30">
        <v>4</v>
      </c>
      <c r="J3" s="31">
        <v>1</v>
      </c>
      <c r="K3" s="32">
        <v>2</v>
      </c>
      <c r="L3" s="32">
        <v>3</v>
      </c>
      <c r="M3" s="30">
        <v>4</v>
      </c>
      <c r="N3" s="31">
        <v>1</v>
      </c>
      <c r="O3" s="32">
        <v>2</v>
      </c>
      <c r="P3" s="32">
        <v>3</v>
      </c>
      <c r="Q3" s="30">
        <v>4</v>
      </c>
      <c r="R3" s="31">
        <v>1</v>
      </c>
      <c r="S3" s="33">
        <v>2</v>
      </c>
      <c r="U3" t="s">
        <v>70</v>
      </c>
    </row>
    <row r="4" spans="2:30" ht="12" customHeight="1" x14ac:dyDescent="0.3">
      <c r="B4" s="116" t="s">
        <v>71</v>
      </c>
      <c r="C4" s="111" t="s">
        <v>72</v>
      </c>
      <c r="D4" s="34"/>
      <c r="E4" s="35"/>
      <c r="F4" s="36"/>
      <c r="G4" s="37"/>
      <c r="H4" s="37"/>
      <c r="I4" s="35"/>
      <c r="J4" s="38"/>
      <c r="K4" s="37"/>
      <c r="L4" s="37"/>
      <c r="M4" s="35"/>
      <c r="N4" s="38"/>
      <c r="O4" s="37"/>
      <c r="P4" s="37"/>
      <c r="Q4" s="35"/>
      <c r="R4" s="38"/>
      <c r="S4" s="39"/>
      <c r="U4" t="s">
        <v>73</v>
      </c>
    </row>
    <row r="5" spans="2:30" ht="12" customHeight="1" x14ac:dyDescent="0.3">
      <c r="B5" s="116"/>
      <c r="C5" s="118"/>
      <c r="D5" s="40"/>
      <c r="E5" s="41"/>
      <c r="F5" s="42"/>
      <c r="G5" s="43"/>
      <c r="H5" s="44"/>
      <c r="I5" s="41"/>
      <c r="J5" s="45"/>
      <c r="K5" s="44"/>
      <c r="L5" s="44"/>
      <c r="M5" s="41"/>
      <c r="N5" s="45"/>
      <c r="O5" s="44"/>
      <c r="P5" s="44"/>
      <c r="Q5" s="41"/>
      <c r="R5" s="45"/>
      <c r="S5" s="46"/>
    </row>
    <row r="6" spans="2:30" ht="12" customHeight="1" x14ac:dyDescent="0.3">
      <c r="B6" s="116"/>
      <c r="C6" s="119" t="s">
        <v>74</v>
      </c>
      <c r="D6" s="47"/>
      <c r="E6" s="48"/>
      <c r="F6" s="49"/>
      <c r="G6" s="50"/>
      <c r="H6" s="51"/>
      <c r="I6" s="48"/>
      <c r="J6" s="52"/>
      <c r="K6" s="51"/>
      <c r="L6" s="51"/>
      <c r="M6" s="48"/>
      <c r="N6" s="52"/>
      <c r="O6" s="51"/>
      <c r="P6" s="51"/>
      <c r="Q6" s="48"/>
      <c r="R6" s="52"/>
      <c r="S6" s="53"/>
      <c r="U6" s="120" t="s">
        <v>75</v>
      </c>
      <c r="V6" s="120"/>
    </row>
    <row r="7" spans="2:30" ht="12" customHeight="1" x14ac:dyDescent="0.3">
      <c r="B7" s="116"/>
      <c r="C7" s="118"/>
      <c r="D7" s="40"/>
      <c r="E7" s="41"/>
      <c r="F7" s="45"/>
      <c r="G7" s="43"/>
      <c r="H7" s="43"/>
      <c r="I7" s="41"/>
      <c r="J7" s="45"/>
      <c r="K7" s="44"/>
      <c r="L7" s="44"/>
      <c r="M7" s="41"/>
      <c r="N7" s="45"/>
      <c r="O7" s="44"/>
      <c r="P7" s="44"/>
      <c r="Q7" s="41"/>
      <c r="R7" s="45"/>
      <c r="S7" s="46"/>
      <c r="U7" t="s">
        <v>76</v>
      </c>
    </row>
    <row r="8" spans="2:30" ht="12" customHeight="1" x14ac:dyDescent="0.3">
      <c r="B8" s="116"/>
      <c r="C8" s="119" t="s">
        <v>77</v>
      </c>
      <c r="D8" s="47"/>
      <c r="E8" s="48"/>
      <c r="F8" s="49"/>
      <c r="G8" s="51"/>
      <c r="H8" s="51"/>
      <c r="I8" s="48"/>
      <c r="J8" s="52"/>
      <c r="K8" s="51"/>
      <c r="L8" s="51"/>
      <c r="M8" s="48"/>
      <c r="N8" s="52"/>
      <c r="O8" s="51"/>
      <c r="P8" s="51"/>
      <c r="Q8" s="48"/>
      <c r="R8" s="52"/>
      <c r="S8" s="53"/>
      <c r="U8" t="s">
        <v>78</v>
      </c>
    </row>
    <row r="9" spans="2:30" ht="12" customHeight="1" x14ac:dyDescent="0.3">
      <c r="B9" s="116"/>
      <c r="C9" s="118"/>
      <c r="D9" s="40"/>
      <c r="E9" s="41"/>
      <c r="F9" s="45"/>
      <c r="G9" s="43"/>
      <c r="H9" s="44"/>
      <c r="I9" s="41"/>
      <c r="J9" s="45"/>
      <c r="K9" s="44"/>
      <c r="L9" s="44"/>
      <c r="M9" s="41"/>
      <c r="N9" s="45"/>
      <c r="O9" s="44"/>
      <c r="P9" s="44"/>
      <c r="Q9" s="41"/>
      <c r="R9" s="45"/>
      <c r="S9" s="46"/>
    </row>
    <row r="10" spans="2:30" ht="12" customHeight="1" x14ac:dyDescent="0.3">
      <c r="B10" s="116"/>
      <c r="C10" s="119" t="s">
        <v>79</v>
      </c>
      <c r="D10" s="47"/>
      <c r="E10" s="48"/>
      <c r="F10" s="52"/>
      <c r="G10" s="50"/>
      <c r="H10" s="50"/>
      <c r="I10" s="48"/>
      <c r="J10" s="52"/>
      <c r="K10" s="51"/>
      <c r="L10" s="51"/>
      <c r="M10" s="48"/>
      <c r="N10" s="52"/>
      <c r="O10" s="51"/>
      <c r="P10" s="51"/>
      <c r="Q10" s="48"/>
      <c r="R10" s="52"/>
      <c r="S10" s="53"/>
    </row>
    <row r="11" spans="2:30" ht="12" customHeight="1" x14ac:dyDescent="0.3">
      <c r="B11" s="117"/>
      <c r="C11" s="121"/>
      <c r="D11" s="54"/>
      <c r="E11" s="55"/>
      <c r="F11" s="56"/>
      <c r="G11" s="57"/>
      <c r="H11" s="57"/>
      <c r="I11" s="55"/>
      <c r="J11" s="56"/>
      <c r="K11" s="58"/>
      <c r="L11" s="58"/>
      <c r="M11" s="55"/>
      <c r="N11" s="56"/>
      <c r="O11" s="58"/>
      <c r="P11" s="58"/>
      <c r="Q11" s="55"/>
      <c r="R11" s="56"/>
      <c r="S11" s="59"/>
    </row>
    <row r="12" spans="2:30" ht="12" customHeight="1" x14ac:dyDescent="0.3">
      <c r="B12" s="109" t="s">
        <v>80</v>
      </c>
      <c r="C12" s="111" t="s">
        <v>81</v>
      </c>
      <c r="D12" s="34"/>
      <c r="E12" s="35"/>
      <c r="F12" s="38"/>
      <c r="G12" s="37"/>
      <c r="H12" s="60"/>
      <c r="I12" s="61"/>
      <c r="J12" s="38"/>
      <c r="K12" s="37"/>
      <c r="L12" s="37"/>
      <c r="M12" s="35"/>
      <c r="N12" s="38"/>
      <c r="O12" s="37"/>
      <c r="P12" s="37"/>
      <c r="Q12" s="35"/>
      <c r="R12" s="38"/>
      <c r="S12" s="39"/>
    </row>
    <row r="13" spans="2:30" ht="12" customHeight="1" x14ac:dyDescent="0.3">
      <c r="B13" s="116"/>
      <c r="C13" s="118"/>
      <c r="D13" s="40"/>
      <c r="E13" s="41"/>
      <c r="F13" s="45"/>
      <c r="G13" s="44"/>
      <c r="H13" s="44"/>
      <c r="I13" s="41"/>
      <c r="J13" s="42"/>
      <c r="K13" s="44"/>
      <c r="L13" s="44"/>
      <c r="M13" s="41"/>
      <c r="N13" s="45"/>
      <c r="O13" s="44"/>
      <c r="P13" s="44"/>
      <c r="Q13" s="41"/>
      <c r="R13" s="45"/>
      <c r="S13" s="46"/>
    </row>
    <row r="14" spans="2:30" ht="12" customHeight="1" x14ac:dyDescent="0.3">
      <c r="B14" s="116"/>
      <c r="C14" s="119" t="s">
        <v>82</v>
      </c>
      <c r="D14" s="62"/>
      <c r="E14" s="48"/>
      <c r="F14" s="52"/>
      <c r="G14" s="51"/>
      <c r="H14" s="50"/>
      <c r="I14" s="48"/>
      <c r="J14" s="52"/>
      <c r="K14" s="51"/>
      <c r="L14" s="51"/>
      <c r="M14" s="48"/>
      <c r="N14" s="52"/>
      <c r="O14" s="51"/>
      <c r="P14" s="51"/>
      <c r="Q14" s="48"/>
      <c r="R14" s="52"/>
      <c r="S14" s="53"/>
    </row>
    <row r="15" spans="2:30" ht="12" customHeight="1" x14ac:dyDescent="0.3">
      <c r="B15" s="116"/>
      <c r="C15" s="118"/>
      <c r="D15" s="40"/>
      <c r="E15" s="41"/>
      <c r="F15" s="45"/>
      <c r="G15" s="44"/>
      <c r="H15" s="44"/>
      <c r="I15" s="63"/>
      <c r="J15" s="42"/>
      <c r="K15" s="44"/>
      <c r="L15" s="44"/>
      <c r="M15" s="41"/>
      <c r="N15" s="45"/>
      <c r="O15" s="44"/>
      <c r="P15" s="44"/>
      <c r="Q15" s="41"/>
      <c r="R15" s="45"/>
      <c r="S15" s="46"/>
    </row>
    <row r="16" spans="2:30" ht="12" customHeight="1" x14ac:dyDescent="0.3">
      <c r="B16" s="116"/>
      <c r="C16" s="119" t="s">
        <v>83</v>
      </c>
      <c r="D16" s="47"/>
      <c r="E16" s="48"/>
      <c r="F16" s="52"/>
      <c r="G16" s="51"/>
      <c r="H16" s="50"/>
      <c r="I16" s="64"/>
      <c r="J16" s="52"/>
      <c r="K16" s="51"/>
      <c r="L16" s="51"/>
      <c r="M16" s="48"/>
      <c r="N16" s="52"/>
      <c r="O16" s="51"/>
      <c r="P16" s="51"/>
      <c r="Q16" s="48"/>
      <c r="R16" s="52"/>
      <c r="S16" s="53"/>
    </row>
    <row r="17" spans="2:19" ht="12" customHeight="1" x14ac:dyDescent="0.3">
      <c r="B17" s="117"/>
      <c r="C17" s="121"/>
      <c r="D17" s="54"/>
      <c r="E17" s="55"/>
      <c r="F17" s="56"/>
      <c r="G17" s="58"/>
      <c r="H17" s="58"/>
      <c r="I17" s="55"/>
      <c r="J17" s="65"/>
      <c r="K17" s="57"/>
      <c r="L17" s="58"/>
      <c r="M17" s="55"/>
      <c r="N17" s="56"/>
      <c r="O17" s="58"/>
      <c r="P17" s="58"/>
      <c r="Q17" s="55"/>
      <c r="R17" s="56"/>
      <c r="S17" s="59"/>
    </row>
    <row r="18" spans="2:19" ht="12" customHeight="1" x14ac:dyDescent="0.3">
      <c r="B18" s="122" t="s">
        <v>84</v>
      </c>
      <c r="C18" s="111" t="s">
        <v>85</v>
      </c>
      <c r="D18" s="34"/>
      <c r="E18" s="35"/>
      <c r="F18" s="38"/>
      <c r="G18" s="37"/>
      <c r="H18" s="37"/>
      <c r="I18" s="61"/>
      <c r="J18" s="38"/>
      <c r="K18" s="37"/>
      <c r="L18" s="37"/>
      <c r="M18" s="35"/>
      <c r="N18" s="38"/>
      <c r="O18" s="37"/>
      <c r="P18" s="37"/>
      <c r="Q18" s="35"/>
      <c r="R18" s="38"/>
      <c r="S18" s="39"/>
    </row>
    <row r="19" spans="2:19" ht="12" customHeight="1" x14ac:dyDescent="0.3">
      <c r="B19" s="116"/>
      <c r="C19" s="118"/>
      <c r="D19" s="40"/>
      <c r="E19" s="41"/>
      <c r="F19" s="45"/>
      <c r="G19" s="43"/>
      <c r="H19" s="44"/>
      <c r="I19" s="41"/>
      <c r="J19" s="45"/>
      <c r="K19" s="44"/>
      <c r="L19" s="44"/>
      <c r="M19" s="41"/>
      <c r="N19" s="45"/>
      <c r="O19" s="44"/>
      <c r="P19" s="44"/>
      <c r="Q19" s="41"/>
      <c r="R19" s="45"/>
      <c r="S19" s="46"/>
    </row>
    <row r="20" spans="2:19" ht="12" customHeight="1" x14ac:dyDescent="0.3">
      <c r="B20" s="116"/>
      <c r="C20" s="119" t="s">
        <v>86</v>
      </c>
      <c r="D20" s="47"/>
      <c r="E20" s="48"/>
      <c r="F20" s="52"/>
      <c r="G20" s="51"/>
      <c r="H20" s="51"/>
      <c r="I20" s="64"/>
      <c r="J20" s="49"/>
      <c r="K20" s="50"/>
      <c r="L20" s="50"/>
      <c r="M20" s="48"/>
      <c r="N20" s="52"/>
      <c r="O20" s="51"/>
      <c r="P20" s="51"/>
      <c r="Q20" s="48"/>
      <c r="R20" s="52"/>
      <c r="S20" s="53"/>
    </row>
    <row r="21" spans="2:19" ht="12" customHeight="1" x14ac:dyDescent="0.3">
      <c r="B21" s="116"/>
      <c r="C21" s="118"/>
      <c r="D21" s="40"/>
      <c r="E21" s="41"/>
      <c r="F21" s="45"/>
      <c r="G21" s="44"/>
      <c r="H21" s="44"/>
      <c r="I21" s="41"/>
      <c r="J21" s="45"/>
      <c r="K21" s="44"/>
      <c r="L21" s="44"/>
      <c r="M21" s="41"/>
      <c r="N21" s="66"/>
      <c r="O21" s="44"/>
      <c r="P21" s="44"/>
      <c r="Q21" s="41"/>
      <c r="R21" s="45"/>
      <c r="S21" s="46"/>
    </row>
    <row r="22" spans="2:19" ht="12" customHeight="1" x14ac:dyDescent="0.3">
      <c r="B22" s="116"/>
      <c r="C22" s="119" t="s">
        <v>87</v>
      </c>
      <c r="D22" s="47"/>
      <c r="E22" s="48"/>
      <c r="F22" s="52"/>
      <c r="G22" s="51"/>
      <c r="H22" s="51"/>
      <c r="I22" s="48"/>
      <c r="J22" s="52"/>
      <c r="K22" s="50"/>
      <c r="L22" s="50"/>
      <c r="M22" s="48"/>
      <c r="N22" s="52"/>
      <c r="O22" s="51"/>
      <c r="P22" s="51"/>
      <c r="Q22" s="48"/>
      <c r="R22" s="52"/>
      <c r="S22" s="53"/>
    </row>
    <row r="23" spans="2:19" ht="12" customHeight="1" x14ac:dyDescent="0.3">
      <c r="B23" s="117"/>
      <c r="C23" s="121"/>
      <c r="D23" s="54"/>
      <c r="E23" s="55"/>
      <c r="F23" s="56"/>
      <c r="G23" s="58"/>
      <c r="H23" s="58"/>
      <c r="I23" s="55"/>
      <c r="J23" s="56"/>
      <c r="K23" s="58"/>
      <c r="L23" s="58"/>
      <c r="M23" s="55"/>
      <c r="N23" s="56"/>
      <c r="O23" s="58"/>
      <c r="P23" s="58"/>
      <c r="Q23" s="55"/>
      <c r="R23" s="56"/>
      <c r="S23" s="59"/>
    </row>
    <row r="24" spans="2:19" ht="12" customHeight="1" x14ac:dyDescent="0.3">
      <c r="B24" s="122" t="s">
        <v>88</v>
      </c>
      <c r="C24" s="111" t="s">
        <v>89</v>
      </c>
      <c r="D24" s="34"/>
      <c r="E24" s="35"/>
      <c r="F24" s="38"/>
      <c r="G24" s="37"/>
      <c r="H24" s="37"/>
      <c r="I24" s="35"/>
      <c r="J24" s="38"/>
      <c r="K24" s="37"/>
      <c r="L24" s="37"/>
      <c r="M24" s="61"/>
      <c r="N24" s="36"/>
      <c r="O24" s="60"/>
      <c r="P24" s="60"/>
      <c r="Q24" s="35"/>
      <c r="R24" s="38"/>
      <c r="S24" s="39"/>
    </row>
    <row r="25" spans="2:19" ht="12" customHeight="1" x14ac:dyDescent="0.3">
      <c r="B25" s="116"/>
      <c r="C25" s="118"/>
      <c r="D25" s="40"/>
      <c r="E25" s="41"/>
      <c r="F25" s="45"/>
      <c r="G25" s="44"/>
      <c r="H25" s="44"/>
      <c r="I25" s="41"/>
      <c r="J25" s="45"/>
      <c r="K25" s="44"/>
      <c r="L25" s="44"/>
      <c r="M25" s="41"/>
      <c r="N25" s="45"/>
      <c r="O25" s="44"/>
      <c r="P25" s="44"/>
      <c r="Q25" s="41"/>
      <c r="R25" s="45"/>
      <c r="S25" s="46"/>
    </row>
    <row r="26" spans="2:19" ht="12" customHeight="1" x14ac:dyDescent="0.3">
      <c r="B26" s="116"/>
      <c r="C26" s="119" t="s">
        <v>90</v>
      </c>
      <c r="D26" s="47"/>
      <c r="E26" s="48"/>
      <c r="F26" s="52"/>
      <c r="G26" s="51"/>
      <c r="H26" s="51"/>
      <c r="I26" s="48"/>
      <c r="J26" s="52"/>
      <c r="K26" s="51"/>
      <c r="L26" s="51"/>
      <c r="M26" s="48"/>
      <c r="N26" s="52"/>
      <c r="O26" s="50"/>
      <c r="P26" s="50"/>
      <c r="Q26" s="48"/>
      <c r="R26" s="52"/>
      <c r="S26" s="53"/>
    </row>
    <row r="27" spans="2:19" ht="12" customHeight="1" x14ac:dyDescent="0.3">
      <c r="B27" s="116"/>
      <c r="C27" s="118"/>
      <c r="D27" s="40"/>
      <c r="E27" s="41"/>
      <c r="F27" s="45"/>
      <c r="G27" s="44"/>
      <c r="H27" s="44"/>
      <c r="I27" s="41"/>
      <c r="J27" s="45"/>
      <c r="K27" s="44"/>
      <c r="L27" s="44"/>
      <c r="M27" s="41"/>
      <c r="N27" s="45"/>
      <c r="O27" s="44"/>
      <c r="P27" s="44"/>
      <c r="Q27" s="41"/>
      <c r="R27" s="45"/>
      <c r="S27" s="46"/>
    </row>
    <row r="28" spans="2:19" ht="12" customHeight="1" x14ac:dyDescent="0.3">
      <c r="B28" s="116"/>
      <c r="C28" s="119" t="s">
        <v>91</v>
      </c>
      <c r="D28" s="47"/>
      <c r="E28" s="48"/>
      <c r="F28" s="52"/>
      <c r="G28" s="51"/>
      <c r="H28" s="51"/>
      <c r="I28" s="48"/>
      <c r="J28" s="52"/>
      <c r="K28" s="51"/>
      <c r="L28" s="51"/>
      <c r="M28" s="48"/>
      <c r="N28" s="52"/>
      <c r="O28" s="51"/>
      <c r="P28" s="50"/>
      <c r="Q28" s="64"/>
      <c r="R28" s="52"/>
      <c r="S28" s="53"/>
    </row>
    <row r="29" spans="2:19" ht="12" customHeight="1" x14ac:dyDescent="0.3">
      <c r="B29" s="116"/>
      <c r="C29" s="112"/>
      <c r="D29" s="67"/>
      <c r="E29" s="68"/>
      <c r="F29" s="69"/>
      <c r="G29" s="70"/>
      <c r="H29" s="71"/>
      <c r="I29" s="68"/>
      <c r="J29" s="69"/>
      <c r="K29" s="70"/>
      <c r="L29" s="71"/>
      <c r="M29" s="68"/>
      <c r="N29" s="72"/>
      <c r="O29" s="71"/>
      <c r="P29" s="70"/>
      <c r="Q29" s="68"/>
      <c r="R29" s="69"/>
      <c r="S29" s="73"/>
    </row>
    <row r="30" spans="2:19" ht="12" customHeight="1" x14ac:dyDescent="0.3">
      <c r="B30" s="123" t="s">
        <v>12</v>
      </c>
      <c r="C30" s="126" t="s">
        <v>92</v>
      </c>
      <c r="D30" s="34"/>
      <c r="E30" s="74"/>
      <c r="F30" s="75"/>
      <c r="G30" s="75"/>
      <c r="H30" s="76"/>
      <c r="I30" s="77"/>
      <c r="J30" s="75"/>
      <c r="K30" s="75"/>
      <c r="L30" s="76"/>
      <c r="M30" s="77"/>
      <c r="N30" s="75"/>
      <c r="O30" s="76"/>
      <c r="P30" s="75"/>
      <c r="Q30" s="77"/>
      <c r="R30" s="75"/>
      <c r="S30" s="78"/>
    </row>
    <row r="31" spans="2:19" ht="12" customHeight="1" x14ac:dyDescent="0.3">
      <c r="B31" s="124"/>
      <c r="C31" s="127"/>
      <c r="D31" s="40"/>
      <c r="E31" s="79"/>
      <c r="F31" s="80"/>
      <c r="G31" s="80"/>
      <c r="H31" s="81"/>
      <c r="I31" s="82"/>
      <c r="J31" s="80"/>
      <c r="K31" s="83"/>
      <c r="L31" s="81"/>
      <c r="M31" s="82"/>
      <c r="N31" s="80"/>
      <c r="O31" s="81"/>
      <c r="P31" s="80"/>
      <c r="Q31" s="82"/>
      <c r="R31" s="80"/>
      <c r="S31" s="46"/>
    </row>
    <row r="32" spans="2:19" ht="12" customHeight="1" x14ac:dyDescent="0.3">
      <c r="B32" s="124"/>
      <c r="C32" s="127" t="s">
        <v>12</v>
      </c>
      <c r="D32" s="47"/>
      <c r="E32" s="84"/>
      <c r="F32" s="85"/>
      <c r="G32" s="85"/>
      <c r="H32" s="86"/>
      <c r="I32" s="87"/>
      <c r="J32" s="85"/>
      <c r="K32" s="85"/>
      <c r="L32" s="86"/>
      <c r="M32" s="87"/>
      <c r="N32" s="85"/>
      <c r="O32" s="86"/>
      <c r="P32" s="85"/>
      <c r="Q32" s="87"/>
      <c r="R32" s="85"/>
      <c r="S32" s="88"/>
    </row>
    <row r="33" spans="2:22" ht="12" customHeight="1" x14ac:dyDescent="0.3">
      <c r="B33" s="124"/>
      <c r="C33" s="127"/>
      <c r="D33" s="40"/>
      <c r="E33" s="79"/>
      <c r="F33" s="83"/>
      <c r="G33" s="80"/>
      <c r="H33" s="89"/>
      <c r="I33" s="90"/>
      <c r="J33" s="80"/>
      <c r="K33" s="83"/>
      <c r="L33" s="81"/>
      <c r="M33" s="82"/>
      <c r="N33" s="80"/>
      <c r="O33" s="81"/>
      <c r="P33" s="80"/>
      <c r="Q33" s="82"/>
      <c r="R33" s="80"/>
      <c r="S33" s="46"/>
    </row>
    <row r="34" spans="2:22" ht="12" customHeight="1" x14ac:dyDescent="0.3">
      <c r="B34" s="124"/>
      <c r="C34" s="118" t="s">
        <v>93</v>
      </c>
      <c r="D34" s="67"/>
      <c r="E34" s="91"/>
      <c r="F34" s="92"/>
      <c r="G34" s="92"/>
      <c r="H34" s="93"/>
      <c r="I34" s="94"/>
      <c r="J34" s="92"/>
      <c r="K34" s="92"/>
      <c r="L34" s="93"/>
      <c r="M34" s="94"/>
      <c r="N34" s="92"/>
      <c r="O34" s="93"/>
      <c r="P34" s="92"/>
      <c r="Q34" s="94"/>
      <c r="R34" s="92"/>
      <c r="S34" s="95"/>
      <c r="U34" s="96"/>
      <c r="V34" s="97" t="s">
        <v>94</v>
      </c>
    </row>
    <row r="35" spans="2:22" ht="13.8" customHeight="1" x14ac:dyDescent="0.3">
      <c r="B35" s="125"/>
      <c r="C35" s="128"/>
      <c r="D35" s="54"/>
      <c r="E35" s="98"/>
      <c r="F35" s="99"/>
      <c r="G35" s="99"/>
      <c r="H35" s="100"/>
      <c r="I35" s="101"/>
      <c r="J35" s="99"/>
      <c r="K35" s="99"/>
      <c r="L35" s="100"/>
      <c r="M35" s="101"/>
      <c r="N35" s="99"/>
      <c r="O35" s="100"/>
      <c r="P35" s="99"/>
      <c r="Q35" s="101"/>
      <c r="R35" s="99"/>
      <c r="S35" s="59"/>
      <c r="U35" s="25"/>
      <c r="V35" s="102" t="s">
        <v>95</v>
      </c>
    </row>
  </sheetData>
  <mergeCells count="28">
    <mergeCell ref="B24:B29"/>
    <mergeCell ref="C24:C25"/>
    <mergeCell ref="C26:C27"/>
    <mergeCell ref="C28:C29"/>
    <mergeCell ref="B30:B35"/>
    <mergeCell ref="C30:C31"/>
    <mergeCell ref="C32:C33"/>
    <mergeCell ref="C34:C35"/>
    <mergeCell ref="B12:B17"/>
    <mergeCell ref="C12:C13"/>
    <mergeCell ref="C14:C15"/>
    <mergeCell ref="C16:C17"/>
    <mergeCell ref="B18:B23"/>
    <mergeCell ref="C18:C19"/>
    <mergeCell ref="C20:C21"/>
    <mergeCell ref="C22:C23"/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</mergeCells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35"/>
  <sheetViews>
    <sheetView workbookViewId="0">
      <selection activeCell="C15" sqref="C15"/>
    </sheetView>
  </sheetViews>
  <sheetFormatPr baseColWidth="10" defaultRowHeight="14.4" x14ac:dyDescent="0.3"/>
  <cols>
    <col min="3" max="3" width="11.5546875" style="103"/>
  </cols>
  <sheetData>
    <row r="1" spans="1:3" x14ac:dyDescent="0.3">
      <c r="A1" t="s">
        <v>0</v>
      </c>
      <c r="B1" t="s">
        <v>4</v>
      </c>
      <c r="C1" s="103" t="s">
        <v>96</v>
      </c>
    </row>
    <row r="2" spans="1:3" x14ac:dyDescent="0.3">
      <c r="A2" s="104" t="str">
        <f t="array" ref="A2:A11">_xlfn.UNIQUE(Journal[date])</f>
        <v>20.01.2026</v>
      </c>
      <c r="B2" s="105">
        <f t="shared" ref="B2:B65" si="0">IF(C2&gt;0,C2,"")</f>
        <v>0.16666666666666666</v>
      </c>
      <c r="C2" s="106">
        <f>SUMIF(Journal[date],SommeParJours!A2,Journal[Temps])</f>
        <v>0.16666666666666666</v>
      </c>
    </row>
    <row r="3" spans="1:3" x14ac:dyDescent="0.3">
      <c r="A3" s="104" t="str">
        <v>27.01.2026</v>
      </c>
      <c r="B3" s="105">
        <f t="shared" si="0"/>
        <v>0.20833333333333331</v>
      </c>
      <c r="C3" s="106">
        <f>SUMIF(Journal[date],SommeParJours!A3,Journal[Temps])</f>
        <v>0.20833333333333331</v>
      </c>
    </row>
    <row r="4" spans="1:3" x14ac:dyDescent="0.3">
      <c r="A4" s="104" t="str">
        <v>30.01.2026</v>
      </c>
      <c r="B4" s="105">
        <f t="shared" si="0"/>
        <v>0.29166666666666663</v>
      </c>
      <c r="C4" s="106">
        <f>SUMIF(Journal[date],SommeParJours!A4,Journal[Temps])</f>
        <v>0.29166666666666663</v>
      </c>
    </row>
    <row r="5" spans="1:3" x14ac:dyDescent="0.3">
      <c r="A5" s="104" t="str">
        <v>03.02.2026</v>
      </c>
      <c r="B5" s="105">
        <f t="shared" si="0"/>
        <v>0.20833333333333331</v>
      </c>
      <c r="C5" s="106">
        <f>SUMIF(Journal[date],SommeParJours!A5,Journal[Temps])</f>
        <v>0.20833333333333331</v>
      </c>
    </row>
    <row r="6" spans="1:3" x14ac:dyDescent="0.3">
      <c r="A6" s="104">
        <v>46056</v>
      </c>
      <c r="B6" s="105">
        <f t="shared" si="0"/>
        <v>0.20833333333333331</v>
      </c>
      <c r="C6" s="106">
        <f>SUMIF(Journal[date],SommeParJours!A6,Journal[Temps])</f>
        <v>0.20833333333333331</v>
      </c>
    </row>
    <row r="7" spans="1:3" x14ac:dyDescent="0.3">
      <c r="A7" s="104">
        <v>0</v>
      </c>
      <c r="B7" s="105" t="str">
        <f t="shared" si="0"/>
        <v/>
      </c>
      <c r="C7" s="106">
        <f>SUMIF(Journal[date],SommeParJours!A7,Journal[Temps])</f>
        <v>0</v>
      </c>
    </row>
    <row r="8" spans="1:3" x14ac:dyDescent="0.3">
      <c r="A8" s="104" t="e">
        <v>#N/A</v>
      </c>
      <c r="B8" s="105" t="str">
        <f t="shared" si="0"/>
        <v/>
      </c>
      <c r="C8" s="106">
        <f>SUMIF(Journal[date],SommeParJours!A8,Journal[Temps])</f>
        <v>0</v>
      </c>
    </row>
    <row r="9" spans="1:3" x14ac:dyDescent="0.3">
      <c r="A9" s="104" t="e">
        <v>#N/A</v>
      </c>
      <c r="B9" s="105" t="str">
        <f t="shared" si="0"/>
        <v/>
      </c>
      <c r="C9" s="106">
        <f>SUMIF(Journal[date],SommeParJours!A9,Journal[Temps])</f>
        <v>0</v>
      </c>
    </row>
    <row r="10" spans="1:3" x14ac:dyDescent="0.3">
      <c r="A10" s="104" t="e">
        <v>#N/A</v>
      </c>
      <c r="B10" s="105" t="str">
        <f t="shared" si="0"/>
        <v/>
      </c>
      <c r="C10" s="106">
        <f>SUMIF(Journal[date],SommeParJours!A10,Journal[Temps])</f>
        <v>0</v>
      </c>
    </row>
    <row r="11" spans="1:3" x14ac:dyDescent="0.3">
      <c r="A11" s="104" t="e">
        <v>#N/A</v>
      </c>
      <c r="B11" s="105" t="str">
        <f t="shared" si="0"/>
        <v/>
      </c>
      <c r="C11" s="106">
        <f>SUMIF(Journal[date],SommeParJours!A11,Journal[Temps])</f>
        <v>0</v>
      </c>
    </row>
    <row r="12" spans="1:3" x14ac:dyDescent="0.3">
      <c r="A12" s="104"/>
      <c r="B12" s="105" t="str">
        <f t="shared" si="0"/>
        <v/>
      </c>
      <c r="C12" s="106">
        <f>SUMIF(Journal[date],SommeParJours!A12,Journal[Temps])</f>
        <v>0</v>
      </c>
    </row>
    <row r="13" spans="1:3" x14ac:dyDescent="0.3">
      <c r="A13" s="104"/>
      <c r="B13" s="105" t="str">
        <f t="shared" si="0"/>
        <v/>
      </c>
      <c r="C13" s="106">
        <f>SUMIF(Journal[date],SommeParJours!A13,Journal[Temps])</f>
        <v>0</v>
      </c>
    </row>
    <row r="14" spans="1:3" x14ac:dyDescent="0.3">
      <c r="A14" s="104"/>
      <c r="B14" s="105" t="str">
        <f t="shared" si="0"/>
        <v/>
      </c>
      <c r="C14" s="106">
        <f>SUMIF(Journal[date],SommeParJours!A14,Journal[Temps])</f>
        <v>0</v>
      </c>
    </row>
    <row r="15" spans="1:3" x14ac:dyDescent="0.3">
      <c r="A15" s="104"/>
      <c r="B15" s="105" t="str">
        <f t="shared" si="0"/>
        <v/>
      </c>
      <c r="C15" s="106">
        <f>SUMIF(Journal[date],SommeParJours!A15,Journal[Temps])</f>
        <v>0</v>
      </c>
    </row>
    <row r="16" spans="1:3" x14ac:dyDescent="0.3">
      <c r="A16" s="104"/>
      <c r="B16" s="105" t="str">
        <f t="shared" si="0"/>
        <v/>
      </c>
      <c r="C16" s="106">
        <f>SUMIF(Journal[date],SommeParJours!A16,Journal[Temps])</f>
        <v>0</v>
      </c>
    </row>
    <row r="17" spans="1:3" x14ac:dyDescent="0.3">
      <c r="A17" s="104"/>
      <c r="B17" s="105" t="str">
        <f t="shared" si="0"/>
        <v/>
      </c>
      <c r="C17" s="106">
        <f>SUMIF(Journal[date],SommeParJours!A17,Journal[Temps])</f>
        <v>0</v>
      </c>
    </row>
    <row r="18" spans="1:3" x14ac:dyDescent="0.3">
      <c r="A18" s="104"/>
      <c r="B18" s="105" t="str">
        <f t="shared" si="0"/>
        <v/>
      </c>
      <c r="C18" s="106">
        <f>SUMIF(Journal[date],SommeParJours!A18,Journal[Temps])</f>
        <v>0</v>
      </c>
    </row>
    <row r="19" spans="1:3" x14ac:dyDescent="0.3">
      <c r="A19" s="104"/>
      <c r="B19" s="105" t="str">
        <f t="shared" si="0"/>
        <v/>
      </c>
      <c r="C19" s="106">
        <f>SUMIF(Journal[date],SommeParJours!A19,Journal[Temps])</f>
        <v>0</v>
      </c>
    </row>
    <row r="20" spans="1:3" x14ac:dyDescent="0.3">
      <c r="A20" s="104"/>
      <c r="B20" s="105" t="str">
        <f t="shared" si="0"/>
        <v/>
      </c>
      <c r="C20" s="106">
        <f>SUMIF(Journal[date],SommeParJours!A20,Journal[Temps])</f>
        <v>0</v>
      </c>
    </row>
    <row r="21" spans="1:3" x14ac:dyDescent="0.3">
      <c r="A21" s="104"/>
      <c r="B21" s="105" t="str">
        <f t="shared" si="0"/>
        <v/>
      </c>
      <c r="C21" s="106">
        <f>SUMIF(Journal[date],SommeParJours!A21,Journal[Temps])</f>
        <v>0</v>
      </c>
    </row>
    <row r="22" spans="1:3" x14ac:dyDescent="0.3">
      <c r="A22" s="104"/>
      <c r="B22" s="105" t="str">
        <f t="shared" si="0"/>
        <v/>
      </c>
      <c r="C22" s="106">
        <f>SUMIF(Journal[date],SommeParJours!A22,Journal[Temps])</f>
        <v>0</v>
      </c>
    </row>
    <row r="23" spans="1:3" x14ac:dyDescent="0.3">
      <c r="A23" s="104"/>
      <c r="B23" s="105" t="str">
        <f t="shared" si="0"/>
        <v/>
      </c>
      <c r="C23" s="106">
        <f>SUMIF(Journal[date],SommeParJours!A23,Journal[Temps])</f>
        <v>0</v>
      </c>
    </row>
    <row r="24" spans="1:3" x14ac:dyDescent="0.3">
      <c r="A24" s="104"/>
      <c r="B24" s="105" t="str">
        <f t="shared" si="0"/>
        <v/>
      </c>
      <c r="C24" s="106">
        <f>SUMIF(Journal[date],SommeParJours!A24,Journal[Temps])</f>
        <v>0</v>
      </c>
    </row>
    <row r="25" spans="1:3" x14ac:dyDescent="0.3">
      <c r="A25" s="104"/>
      <c r="B25" s="105" t="str">
        <f t="shared" si="0"/>
        <v/>
      </c>
      <c r="C25" s="106">
        <f>SUMIF(Journal[date],SommeParJours!A25,Journal[Temps])</f>
        <v>0</v>
      </c>
    </row>
    <row r="26" spans="1:3" x14ac:dyDescent="0.3">
      <c r="A26" s="104"/>
      <c r="B26" s="105" t="str">
        <f t="shared" si="0"/>
        <v/>
      </c>
      <c r="C26" s="106">
        <f>SUMIF(Journal[date],SommeParJours!A26,Journal[Temps])</f>
        <v>0</v>
      </c>
    </row>
    <row r="27" spans="1:3" x14ac:dyDescent="0.3">
      <c r="A27" s="104"/>
      <c r="B27" s="105" t="str">
        <f t="shared" si="0"/>
        <v/>
      </c>
      <c r="C27" s="106">
        <f>SUMIF(Journal[date],SommeParJours!A27,Journal[Temps])</f>
        <v>0</v>
      </c>
    </row>
    <row r="28" spans="1:3" x14ac:dyDescent="0.3">
      <c r="A28" s="104"/>
      <c r="B28" s="105" t="str">
        <f t="shared" si="0"/>
        <v/>
      </c>
      <c r="C28" s="106">
        <f>SUMIF(Journal[date],SommeParJours!A28,Journal[Temps])</f>
        <v>0</v>
      </c>
    </row>
    <row r="29" spans="1:3" x14ac:dyDescent="0.3">
      <c r="A29" s="104"/>
      <c r="B29" s="105" t="str">
        <f t="shared" si="0"/>
        <v/>
      </c>
      <c r="C29" s="106">
        <f>SUMIF(Journal[date],SommeParJours!A29,Journal[Temps])</f>
        <v>0</v>
      </c>
    </row>
    <row r="30" spans="1:3" x14ac:dyDescent="0.3">
      <c r="A30" s="104"/>
      <c r="B30" s="105" t="str">
        <f t="shared" si="0"/>
        <v/>
      </c>
      <c r="C30" s="106">
        <f>SUMIF(Journal[date],SommeParJours!A30,Journal[Temps])</f>
        <v>0</v>
      </c>
    </row>
    <row r="31" spans="1:3" x14ac:dyDescent="0.3">
      <c r="A31" s="104"/>
      <c r="B31" s="105" t="str">
        <f t="shared" si="0"/>
        <v/>
      </c>
      <c r="C31" s="106">
        <f>SUMIF(Journal[date],SommeParJours!A31,Journal[Temps])</f>
        <v>0</v>
      </c>
    </row>
    <row r="32" spans="1:3" x14ac:dyDescent="0.3">
      <c r="A32" s="104"/>
      <c r="B32" s="105" t="str">
        <f t="shared" si="0"/>
        <v/>
      </c>
      <c r="C32" s="106">
        <f>SUMIF(Journal[date],SommeParJours!A32,Journal[Temps])</f>
        <v>0</v>
      </c>
    </row>
    <row r="33" spans="1:3" x14ac:dyDescent="0.3">
      <c r="A33" s="104"/>
      <c r="B33" s="105" t="str">
        <f t="shared" si="0"/>
        <v/>
      </c>
      <c r="C33" s="106">
        <f>SUMIF(Journal[date],SommeParJours!A33,Journal[Temps])</f>
        <v>0</v>
      </c>
    </row>
    <row r="34" spans="1:3" x14ac:dyDescent="0.3">
      <c r="A34" s="104"/>
      <c r="B34" s="105" t="str">
        <f t="shared" si="0"/>
        <v/>
      </c>
      <c r="C34" s="106">
        <f>SUMIF(Journal[date],SommeParJours!A34,Journal[Temps])</f>
        <v>0</v>
      </c>
    </row>
    <row r="35" spans="1:3" x14ac:dyDescent="0.3">
      <c r="A35" s="104"/>
      <c r="B35" s="105" t="str">
        <f t="shared" si="0"/>
        <v/>
      </c>
      <c r="C35" s="106">
        <f>SUMIF(Journal[date],SommeParJours!A35,Journal[Temps])</f>
        <v>0</v>
      </c>
    </row>
    <row r="36" spans="1:3" x14ac:dyDescent="0.3">
      <c r="A36" s="104"/>
      <c r="B36" s="105" t="str">
        <f t="shared" si="0"/>
        <v/>
      </c>
      <c r="C36" s="106">
        <f>SUMIF(Journal[date],SommeParJours!A36,Journal[Temps])</f>
        <v>0</v>
      </c>
    </row>
    <row r="37" spans="1:3" x14ac:dyDescent="0.3">
      <c r="A37" s="104"/>
      <c r="B37" s="105" t="str">
        <f t="shared" si="0"/>
        <v/>
      </c>
      <c r="C37" s="106">
        <f>SUMIF(Journal[date],SommeParJours!A37,Journal[Temps])</f>
        <v>0</v>
      </c>
    </row>
    <row r="38" spans="1:3" x14ac:dyDescent="0.3">
      <c r="A38" s="104"/>
      <c r="B38" s="105" t="str">
        <f t="shared" si="0"/>
        <v/>
      </c>
      <c r="C38" s="106">
        <f>SUMIF(Journal[date],SommeParJours!A38,Journal[Temps])</f>
        <v>0</v>
      </c>
    </row>
    <row r="39" spans="1:3" x14ac:dyDescent="0.3">
      <c r="A39" s="107"/>
      <c r="B39" s="105" t="str">
        <f t="shared" si="0"/>
        <v/>
      </c>
      <c r="C39" s="106">
        <f>SUMIF(Journal[date],SommeParJours!A39,Journal[Temps])</f>
        <v>0</v>
      </c>
    </row>
    <row r="40" spans="1:3" x14ac:dyDescent="0.3">
      <c r="A40" s="107"/>
      <c r="B40" s="105" t="str">
        <f t="shared" si="0"/>
        <v/>
      </c>
      <c r="C40" s="106">
        <f>SUMIF(Journal[date],SommeParJours!A40,Journal[Temps])</f>
        <v>0</v>
      </c>
    </row>
    <row r="41" spans="1:3" x14ac:dyDescent="0.3">
      <c r="A41" s="107"/>
      <c r="B41" s="105" t="str">
        <f t="shared" si="0"/>
        <v/>
      </c>
      <c r="C41" s="106">
        <f>SUMIF(Journal[date],SommeParJours!A41,Journal[Temps])</f>
        <v>0</v>
      </c>
    </row>
    <row r="42" spans="1:3" x14ac:dyDescent="0.3">
      <c r="A42" s="107"/>
      <c r="B42" s="105" t="str">
        <f t="shared" si="0"/>
        <v/>
      </c>
      <c r="C42" s="106">
        <f>SUMIF(Journal[date],SommeParJours!A42,Journal[Temps])</f>
        <v>0</v>
      </c>
    </row>
    <row r="43" spans="1:3" x14ac:dyDescent="0.3">
      <c r="A43" s="107"/>
      <c r="B43" s="105" t="str">
        <f t="shared" si="0"/>
        <v/>
      </c>
      <c r="C43" s="106">
        <f>SUMIF(Journal[date],SommeParJours!A43,Journal[Temps])</f>
        <v>0</v>
      </c>
    </row>
    <row r="44" spans="1:3" x14ac:dyDescent="0.3">
      <c r="A44" s="107"/>
      <c r="B44" s="105" t="str">
        <f t="shared" si="0"/>
        <v/>
      </c>
      <c r="C44" s="106">
        <f>SUMIF(Journal[date],SommeParJours!A44,Journal[Temps])</f>
        <v>0</v>
      </c>
    </row>
    <row r="45" spans="1:3" x14ac:dyDescent="0.3">
      <c r="A45" s="107"/>
      <c r="B45" s="105" t="str">
        <f t="shared" si="0"/>
        <v/>
      </c>
      <c r="C45" s="106">
        <f>SUMIF(Journal[date],SommeParJours!A45,Journal[Temps])</f>
        <v>0</v>
      </c>
    </row>
    <row r="46" spans="1:3" x14ac:dyDescent="0.3">
      <c r="A46" s="107"/>
      <c r="B46" s="105" t="str">
        <f t="shared" si="0"/>
        <v/>
      </c>
      <c r="C46" s="106">
        <f>SUMIF(Journal[date],SommeParJours!A46,Journal[Temps])</f>
        <v>0</v>
      </c>
    </row>
    <row r="47" spans="1:3" x14ac:dyDescent="0.3">
      <c r="A47" s="107"/>
      <c r="B47" s="105" t="str">
        <f t="shared" si="0"/>
        <v/>
      </c>
      <c r="C47" s="106">
        <f>SUMIF(Journal[date],SommeParJours!A47,Journal[Temps])</f>
        <v>0</v>
      </c>
    </row>
    <row r="48" spans="1:3" x14ac:dyDescent="0.3">
      <c r="A48" s="107"/>
      <c r="B48" s="105" t="str">
        <f t="shared" si="0"/>
        <v/>
      </c>
      <c r="C48" s="106">
        <f>SUMIF(Journal[date],SommeParJours!A48,Journal[Temps])</f>
        <v>0</v>
      </c>
    </row>
    <row r="49" spans="1:3" x14ac:dyDescent="0.3">
      <c r="A49" s="107"/>
      <c r="B49" s="105" t="str">
        <f t="shared" si="0"/>
        <v/>
      </c>
      <c r="C49" s="106">
        <f>SUMIF(Journal[date],SommeParJours!A49,Journal[Temps])</f>
        <v>0</v>
      </c>
    </row>
    <row r="50" spans="1:3" x14ac:dyDescent="0.3">
      <c r="A50" s="107"/>
      <c r="B50" s="105" t="str">
        <f t="shared" si="0"/>
        <v/>
      </c>
      <c r="C50" s="106">
        <f>SUMIF(Journal[date],SommeParJours!A50,Journal[Temps])</f>
        <v>0</v>
      </c>
    </row>
    <row r="51" spans="1:3" x14ac:dyDescent="0.3">
      <c r="A51" s="107"/>
      <c r="B51" s="105" t="str">
        <f t="shared" si="0"/>
        <v/>
      </c>
      <c r="C51" s="106">
        <f>SUMIF(Journal[date],SommeParJours!A51,Journal[Temps])</f>
        <v>0</v>
      </c>
    </row>
    <row r="52" spans="1:3" x14ac:dyDescent="0.3">
      <c r="A52" s="107"/>
      <c r="B52" s="105" t="str">
        <f t="shared" si="0"/>
        <v/>
      </c>
      <c r="C52" s="106">
        <f>SUMIF(Journal[date],SommeParJours!A52,Journal[Temps])</f>
        <v>0</v>
      </c>
    </row>
    <row r="53" spans="1:3" x14ac:dyDescent="0.3">
      <c r="A53" s="107"/>
      <c r="B53" s="105" t="str">
        <f t="shared" si="0"/>
        <v/>
      </c>
      <c r="C53" s="106">
        <f>SUMIF(Journal[date],SommeParJours!A53,Journal[Temps])</f>
        <v>0</v>
      </c>
    </row>
    <row r="54" spans="1:3" x14ac:dyDescent="0.3">
      <c r="A54" s="107"/>
      <c r="B54" s="105" t="str">
        <f t="shared" si="0"/>
        <v/>
      </c>
      <c r="C54" s="106">
        <f>SUMIF(Journal[date],SommeParJours!A54,Journal[Temps])</f>
        <v>0</v>
      </c>
    </row>
    <row r="55" spans="1:3" x14ac:dyDescent="0.3">
      <c r="A55" s="107"/>
      <c r="B55" s="105" t="str">
        <f t="shared" si="0"/>
        <v/>
      </c>
      <c r="C55" s="106">
        <f>SUMIF(Journal[date],SommeParJours!A55,Journal[Temps])</f>
        <v>0</v>
      </c>
    </row>
    <row r="56" spans="1:3" x14ac:dyDescent="0.3">
      <c r="A56" s="107"/>
      <c r="B56" s="105" t="str">
        <f t="shared" si="0"/>
        <v/>
      </c>
      <c r="C56" s="106">
        <f>SUMIF(Journal[date],SommeParJours!A56,Journal[Temps])</f>
        <v>0</v>
      </c>
    </row>
    <row r="57" spans="1:3" x14ac:dyDescent="0.3">
      <c r="A57" s="107"/>
      <c r="B57" s="105" t="str">
        <f t="shared" si="0"/>
        <v/>
      </c>
      <c r="C57" s="106">
        <f>SUMIF(Journal[date],SommeParJours!A57,Journal[Temps])</f>
        <v>0</v>
      </c>
    </row>
    <row r="58" spans="1:3" x14ac:dyDescent="0.3">
      <c r="A58" s="107"/>
      <c r="B58" s="105" t="str">
        <f t="shared" si="0"/>
        <v/>
      </c>
      <c r="C58" s="106">
        <f>SUMIF(Journal[date],SommeParJours!A58,Journal[Temps])</f>
        <v>0</v>
      </c>
    </row>
    <row r="59" spans="1:3" x14ac:dyDescent="0.3">
      <c r="A59" s="107"/>
      <c r="B59" s="105" t="str">
        <f t="shared" si="0"/>
        <v/>
      </c>
      <c r="C59" s="106">
        <f>SUMIF(Journal[date],SommeParJours!A59,Journal[Temps])</f>
        <v>0</v>
      </c>
    </row>
    <row r="60" spans="1:3" x14ac:dyDescent="0.3">
      <c r="A60" s="107"/>
      <c r="B60" s="105" t="str">
        <f t="shared" si="0"/>
        <v/>
      </c>
      <c r="C60" s="106">
        <f>SUMIF(Journal[date],SommeParJours!A60,Journal[Temps])</f>
        <v>0</v>
      </c>
    </row>
    <row r="61" spans="1:3" x14ac:dyDescent="0.3">
      <c r="A61" s="107"/>
      <c r="B61" s="105" t="str">
        <f t="shared" si="0"/>
        <v/>
      </c>
      <c r="C61" s="106">
        <f>SUMIF(Journal[date],SommeParJours!A61,Journal[Temps])</f>
        <v>0</v>
      </c>
    </row>
    <row r="62" spans="1:3" x14ac:dyDescent="0.3">
      <c r="A62" s="107"/>
      <c r="B62" s="105" t="str">
        <f t="shared" si="0"/>
        <v/>
      </c>
      <c r="C62" s="106">
        <f>SUMIF(Journal[date],SommeParJours!A62,Journal[Temps])</f>
        <v>0</v>
      </c>
    </row>
    <row r="63" spans="1:3" x14ac:dyDescent="0.3">
      <c r="A63" s="107"/>
      <c r="B63" s="105" t="str">
        <f t="shared" si="0"/>
        <v/>
      </c>
      <c r="C63" s="106">
        <f>SUMIF(Journal[date],SommeParJours!A63,Journal[Temps])</f>
        <v>0</v>
      </c>
    </row>
    <row r="64" spans="1:3" x14ac:dyDescent="0.3">
      <c r="A64" s="107"/>
      <c r="B64" s="105" t="str">
        <f t="shared" si="0"/>
        <v/>
      </c>
      <c r="C64" s="106">
        <f>SUMIF(Journal[date],SommeParJours!A64,Journal[Temps])</f>
        <v>0</v>
      </c>
    </row>
    <row r="65" spans="1:3" x14ac:dyDescent="0.3">
      <c r="A65" s="107"/>
      <c r="B65" s="105" t="str">
        <f t="shared" si="0"/>
        <v/>
      </c>
      <c r="C65" s="106">
        <f>SUMIF(Journal[date],SommeParJours!A65,Journal[Temps])</f>
        <v>0</v>
      </c>
    </row>
    <row r="66" spans="1:3" x14ac:dyDescent="0.3">
      <c r="A66" s="107"/>
      <c r="B66" s="105" t="str">
        <f t="shared" ref="B66:B114" si="1">IF(C66&gt;0,C66,"")</f>
        <v/>
      </c>
      <c r="C66" s="106">
        <f>SUMIF(Journal[date],SommeParJours!A66,Journal[Temps])</f>
        <v>0</v>
      </c>
    </row>
    <row r="67" spans="1:3" x14ac:dyDescent="0.3">
      <c r="A67" s="107"/>
      <c r="B67" s="105" t="str">
        <f t="shared" si="1"/>
        <v/>
      </c>
      <c r="C67" s="106">
        <f>SUMIF(Journal[date],SommeParJours!A67,Journal[Temps])</f>
        <v>0</v>
      </c>
    </row>
    <row r="68" spans="1:3" x14ac:dyDescent="0.3">
      <c r="A68" s="107"/>
      <c r="B68" s="105" t="str">
        <f t="shared" si="1"/>
        <v/>
      </c>
      <c r="C68" s="106">
        <f>SUMIF(Journal[date],SommeParJours!A68,Journal[Temps])</f>
        <v>0</v>
      </c>
    </row>
    <row r="69" spans="1:3" x14ac:dyDescent="0.3">
      <c r="A69" s="107"/>
      <c r="B69" s="105" t="str">
        <f t="shared" si="1"/>
        <v/>
      </c>
      <c r="C69" s="106">
        <f>SUMIF(Journal[date],SommeParJours!A69,Journal[Temps])</f>
        <v>0</v>
      </c>
    </row>
    <row r="70" spans="1:3" x14ac:dyDescent="0.3">
      <c r="A70" s="107"/>
      <c r="B70" s="105" t="str">
        <f t="shared" si="1"/>
        <v/>
      </c>
      <c r="C70" s="106">
        <f>SUMIF(Journal[date],SommeParJours!A70,Journal[Temps])</f>
        <v>0</v>
      </c>
    </row>
    <row r="71" spans="1:3" x14ac:dyDescent="0.3">
      <c r="A71" s="107"/>
      <c r="B71" s="105" t="str">
        <f t="shared" si="1"/>
        <v/>
      </c>
      <c r="C71" s="106">
        <f>SUMIF(Journal[date],SommeParJours!A71,Journal[Temps])</f>
        <v>0</v>
      </c>
    </row>
    <row r="72" spans="1:3" x14ac:dyDescent="0.3">
      <c r="A72" s="107"/>
      <c r="B72" s="105" t="str">
        <f t="shared" si="1"/>
        <v/>
      </c>
      <c r="C72" s="106">
        <f>SUMIF(Journal[date],SommeParJours!A72,Journal[Temps])</f>
        <v>0</v>
      </c>
    </row>
    <row r="73" spans="1:3" x14ac:dyDescent="0.3">
      <c r="A73" s="107"/>
      <c r="B73" s="105" t="str">
        <f t="shared" si="1"/>
        <v/>
      </c>
      <c r="C73" s="106">
        <f>SUMIF(Journal[date],SommeParJours!A73,Journal[Temps])</f>
        <v>0</v>
      </c>
    </row>
    <row r="74" spans="1:3" x14ac:dyDescent="0.3">
      <c r="A74" s="107"/>
      <c r="B74" s="105" t="str">
        <f t="shared" si="1"/>
        <v/>
      </c>
      <c r="C74" s="106">
        <f>SUMIF(Journal[date],SommeParJours!A74,Journal[Temps])</f>
        <v>0</v>
      </c>
    </row>
    <row r="75" spans="1:3" x14ac:dyDescent="0.3">
      <c r="A75" s="107"/>
      <c r="B75" s="105" t="str">
        <f t="shared" si="1"/>
        <v/>
      </c>
      <c r="C75" s="106">
        <f>SUMIF(Journal[date],SommeParJours!A75,Journal[Temps])</f>
        <v>0</v>
      </c>
    </row>
    <row r="76" spans="1:3" x14ac:dyDescent="0.3">
      <c r="A76" s="107"/>
      <c r="B76" s="105" t="str">
        <f t="shared" si="1"/>
        <v/>
      </c>
      <c r="C76" s="106">
        <f>SUMIF(Journal[date],SommeParJours!A76,Journal[Temps])</f>
        <v>0</v>
      </c>
    </row>
    <row r="77" spans="1:3" x14ac:dyDescent="0.3">
      <c r="A77" s="107"/>
      <c r="B77" s="105" t="str">
        <f t="shared" si="1"/>
        <v/>
      </c>
      <c r="C77" s="106">
        <f>SUMIF(Journal[date],SommeParJours!A77,Journal[Temps])</f>
        <v>0</v>
      </c>
    </row>
    <row r="78" spans="1:3" x14ac:dyDescent="0.3">
      <c r="A78" s="107"/>
      <c r="B78" s="105" t="str">
        <f t="shared" si="1"/>
        <v/>
      </c>
      <c r="C78" s="106">
        <f>SUMIF(Journal[date],SommeParJours!A78,Journal[Temps])</f>
        <v>0</v>
      </c>
    </row>
    <row r="79" spans="1:3" x14ac:dyDescent="0.3">
      <c r="A79" s="107"/>
      <c r="B79" s="105" t="str">
        <f t="shared" si="1"/>
        <v/>
      </c>
      <c r="C79" s="106">
        <f>SUMIF(Journal[date],SommeParJours!A79,Journal[Temps])</f>
        <v>0</v>
      </c>
    </row>
    <row r="80" spans="1:3" x14ac:dyDescent="0.3">
      <c r="A80" s="107"/>
      <c r="B80" s="105" t="str">
        <f t="shared" si="1"/>
        <v/>
      </c>
      <c r="C80" s="106">
        <f>SUMIF(Journal[date],SommeParJours!A80,Journal[Temps])</f>
        <v>0</v>
      </c>
    </row>
    <row r="81" spans="1:3" x14ac:dyDescent="0.3">
      <c r="A81" s="107"/>
      <c r="B81" s="105" t="str">
        <f t="shared" si="1"/>
        <v/>
      </c>
      <c r="C81" s="106">
        <f>SUMIF(Journal[date],SommeParJours!A81,Journal[Temps])</f>
        <v>0</v>
      </c>
    </row>
    <row r="82" spans="1:3" x14ac:dyDescent="0.3">
      <c r="A82" s="107"/>
      <c r="B82" s="105" t="str">
        <f t="shared" si="1"/>
        <v/>
      </c>
      <c r="C82" s="106">
        <f>SUMIF(Journal[date],SommeParJours!A82,Journal[Temps])</f>
        <v>0</v>
      </c>
    </row>
    <row r="83" spans="1:3" x14ac:dyDescent="0.3">
      <c r="A83" s="107"/>
      <c r="B83" s="105" t="str">
        <f t="shared" si="1"/>
        <v/>
      </c>
      <c r="C83" s="106">
        <f>SUMIF(Journal[date],SommeParJours!A83,Journal[Temps])</f>
        <v>0</v>
      </c>
    </row>
    <row r="84" spans="1:3" x14ac:dyDescent="0.3">
      <c r="A84" s="107"/>
      <c r="B84" s="105" t="str">
        <f t="shared" si="1"/>
        <v/>
      </c>
      <c r="C84" s="106">
        <f>SUMIF(Journal[date],SommeParJours!A84,Journal[Temps])</f>
        <v>0</v>
      </c>
    </row>
    <row r="85" spans="1:3" x14ac:dyDescent="0.3">
      <c r="A85" s="107"/>
      <c r="B85" s="105" t="str">
        <f t="shared" si="1"/>
        <v/>
      </c>
      <c r="C85" s="106">
        <f>SUMIF(Journal[date],SommeParJours!A85,Journal[Temps])</f>
        <v>0</v>
      </c>
    </row>
    <row r="86" spans="1:3" x14ac:dyDescent="0.3">
      <c r="A86" s="107"/>
      <c r="B86" s="105" t="str">
        <f t="shared" si="1"/>
        <v/>
      </c>
      <c r="C86" s="106">
        <f>SUMIF(Journal[date],SommeParJours!A86,Journal[Temps])</f>
        <v>0</v>
      </c>
    </row>
    <row r="87" spans="1:3" x14ac:dyDescent="0.3">
      <c r="A87" s="107"/>
      <c r="B87" s="105" t="str">
        <f t="shared" si="1"/>
        <v/>
      </c>
      <c r="C87" s="106">
        <f>SUMIF(Journal[date],SommeParJours!A87,Journal[Temps])</f>
        <v>0</v>
      </c>
    </row>
    <row r="88" spans="1:3" x14ac:dyDescent="0.3">
      <c r="A88" s="107"/>
      <c r="B88" s="105" t="str">
        <f t="shared" si="1"/>
        <v/>
      </c>
      <c r="C88" s="106">
        <f>SUMIF(Journal[date],SommeParJours!A88,Journal[Temps])</f>
        <v>0</v>
      </c>
    </row>
    <row r="89" spans="1:3" x14ac:dyDescent="0.3">
      <c r="A89" s="107"/>
      <c r="B89" s="105" t="str">
        <f t="shared" si="1"/>
        <v/>
      </c>
      <c r="C89" s="106">
        <f>SUMIF(Journal[date],SommeParJours!A89,Journal[Temps])</f>
        <v>0</v>
      </c>
    </row>
    <row r="90" spans="1:3" x14ac:dyDescent="0.3">
      <c r="A90" s="107"/>
      <c r="B90" s="105" t="str">
        <f t="shared" si="1"/>
        <v/>
      </c>
      <c r="C90" s="106">
        <f>SUMIF(Journal[date],SommeParJours!A90,Journal[Temps])</f>
        <v>0</v>
      </c>
    </row>
    <row r="91" spans="1:3" x14ac:dyDescent="0.3">
      <c r="A91" s="107"/>
      <c r="B91" s="105" t="str">
        <f t="shared" si="1"/>
        <v/>
      </c>
      <c r="C91" s="106">
        <f>SUMIF(Journal[date],SommeParJours!A91,Journal[Temps])</f>
        <v>0</v>
      </c>
    </row>
    <row r="92" spans="1:3" x14ac:dyDescent="0.3">
      <c r="A92" s="107"/>
      <c r="B92" s="105" t="str">
        <f t="shared" si="1"/>
        <v/>
      </c>
      <c r="C92" s="106">
        <f>SUMIF(Journal[date],SommeParJours!A92,Journal[Temps])</f>
        <v>0</v>
      </c>
    </row>
    <row r="93" spans="1:3" x14ac:dyDescent="0.3">
      <c r="A93" s="107"/>
      <c r="B93" s="105" t="str">
        <f t="shared" si="1"/>
        <v/>
      </c>
      <c r="C93" s="106">
        <f>SUMIF(Journal[date],SommeParJours!A93,Journal[Temps])</f>
        <v>0</v>
      </c>
    </row>
    <row r="94" spans="1:3" x14ac:dyDescent="0.3">
      <c r="A94" s="107"/>
      <c r="B94" s="105" t="str">
        <f t="shared" si="1"/>
        <v/>
      </c>
      <c r="C94" s="106">
        <f>SUMIF(Journal[date],SommeParJours!A94,Journal[Temps])</f>
        <v>0</v>
      </c>
    </row>
    <row r="95" spans="1:3" x14ac:dyDescent="0.3">
      <c r="A95" s="107"/>
      <c r="B95" s="105" t="str">
        <f t="shared" si="1"/>
        <v/>
      </c>
      <c r="C95" s="106">
        <f>SUMIF(Journal[date],SommeParJours!A95,Journal[Temps])</f>
        <v>0</v>
      </c>
    </row>
    <row r="96" spans="1:3" x14ac:dyDescent="0.3">
      <c r="A96" s="107"/>
      <c r="B96" s="105" t="str">
        <f t="shared" si="1"/>
        <v/>
      </c>
      <c r="C96" s="106">
        <f>SUMIF(Journal[date],SommeParJours!A96,Journal[Temps])</f>
        <v>0</v>
      </c>
    </row>
    <row r="97" spans="1:3" x14ac:dyDescent="0.3">
      <c r="A97" s="107"/>
      <c r="B97" s="105" t="str">
        <f t="shared" si="1"/>
        <v/>
      </c>
      <c r="C97" s="106">
        <f>SUMIF(Journal[date],SommeParJours!A97,Journal[Temps])</f>
        <v>0</v>
      </c>
    </row>
    <row r="98" spans="1:3" x14ac:dyDescent="0.3">
      <c r="A98" s="107"/>
      <c r="B98" s="105" t="str">
        <f t="shared" si="1"/>
        <v/>
      </c>
      <c r="C98" s="106">
        <f>SUMIF(Journal[date],SommeParJours!A98,Journal[Temps])</f>
        <v>0</v>
      </c>
    </row>
    <row r="99" spans="1:3" x14ac:dyDescent="0.3">
      <c r="A99" s="107"/>
      <c r="B99" s="105" t="str">
        <f t="shared" si="1"/>
        <v/>
      </c>
      <c r="C99" s="106">
        <f>SUMIF(Journal[date],SommeParJours!A99,Journal[Temps])</f>
        <v>0</v>
      </c>
    </row>
    <row r="100" spans="1:3" x14ac:dyDescent="0.3">
      <c r="A100" s="107"/>
      <c r="B100" s="105" t="str">
        <f t="shared" si="1"/>
        <v/>
      </c>
      <c r="C100" s="106">
        <f>SUMIF(Journal[date],SommeParJours!A100,Journal[Temps])</f>
        <v>0</v>
      </c>
    </row>
    <row r="101" spans="1:3" x14ac:dyDescent="0.3">
      <c r="A101" s="107"/>
      <c r="B101" s="105" t="str">
        <f t="shared" si="1"/>
        <v/>
      </c>
      <c r="C101" s="106">
        <f>SUMIF(Journal[date],SommeParJours!A101,Journal[Temps])</f>
        <v>0</v>
      </c>
    </row>
    <row r="102" spans="1:3" x14ac:dyDescent="0.3">
      <c r="A102" s="107"/>
      <c r="B102" s="105" t="str">
        <f t="shared" si="1"/>
        <v/>
      </c>
      <c r="C102" s="106">
        <f>SUMIF(Journal[date],SommeParJours!A102,Journal[Temps])</f>
        <v>0</v>
      </c>
    </row>
    <row r="103" spans="1:3" x14ac:dyDescent="0.3">
      <c r="A103" s="107"/>
      <c r="B103" s="105" t="str">
        <f t="shared" si="1"/>
        <v/>
      </c>
      <c r="C103" s="106">
        <f>SUMIF(Journal[date],SommeParJours!A103,Journal[Temps])</f>
        <v>0</v>
      </c>
    </row>
    <row r="104" spans="1:3" x14ac:dyDescent="0.3">
      <c r="A104" s="107"/>
      <c r="B104" s="105" t="str">
        <f t="shared" si="1"/>
        <v/>
      </c>
      <c r="C104" s="106">
        <f>SUMIF(Journal[date],SommeParJours!A104,Journal[Temps])</f>
        <v>0</v>
      </c>
    </row>
    <row r="105" spans="1:3" x14ac:dyDescent="0.3">
      <c r="A105" s="107"/>
      <c r="B105" s="105" t="str">
        <f t="shared" si="1"/>
        <v/>
      </c>
      <c r="C105" s="106">
        <f>SUMIF(Journal[date],SommeParJours!A105,Journal[Temps])</f>
        <v>0</v>
      </c>
    </row>
    <row r="106" spans="1:3" x14ac:dyDescent="0.3">
      <c r="A106" s="107"/>
      <c r="B106" s="105" t="str">
        <f t="shared" si="1"/>
        <v/>
      </c>
      <c r="C106" s="106">
        <f>SUMIF(Journal[date],SommeParJours!A106,Journal[Temps])</f>
        <v>0</v>
      </c>
    </row>
    <row r="107" spans="1:3" x14ac:dyDescent="0.3">
      <c r="A107" s="107"/>
      <c r="B107" s="105" t="str">
        <f t="shared" si="1"/>
        <v/>
      </c>
      <c r="C107" s="106">
        <f>SUMIF(Journal[date],SommeParJours!A107,Journal[Temps])</f>
        <v>0</v>
      </c>
    </row>
    <row r="108" spans="1:3" x14ac:dyDescent="0.3">
      <c r="A108" s="107"/>
      <c r="B108" s="105" t="str">
        <f t="shared" si="1"/>
        <v/>
      </c>
      <c r="C108" s="106">
        <f>SUMIF(Journal[date],SommeParJours!A108,Journal[Temps])</f>
        <v>0</v>
      </c>
    </row>
    <row r="109" spans="1:3" x14ac:dyDescent="0.3">
      <c r="A109" s="107"/>
      <c r="B109" s="105" t="str">
        <f t="shared" si="1"/>
        <v/>
      </c>
      <c r="C109" s="106">
        <f>SUMIF(Journal[date],SommeParJours!A109,Journal[Temps])</f>
        <v>0</v>
      </c>
    </row>
    <row r="110" spans="1:3" x14ac:dyDescent="0.3">
      <c r="A110" s="107"/>
      <c r="B110" s="105" t="str">
        <f t="shared" si="1"/>
        <v/>
      </c>
      <c r="C110" s="106">
        <f>SUMIF(Journal[date],SommeParJours!A110,Journal[Temps])</f>
        <v>0</v>
      </c>
    </row>
    <row r="111" spans="1:3" x14ac:dyDescent="0.3">
      <c r="A111" s="107"/>
      <c r="B111" s="105" t="str">
        <f t="shared" si="1"/>
        <v/>
      </c>
      <c r="C111" s="106">
        <f>SUMIF(Journal[date],SommeParJours!A111,Journal[Temps])</f>
        <v>0</v>
      </c>
    </row>
    <row r="112" spans="1:3" x14ac:dyDescent="0.3">
      <c r="A112" s="107"/>
      <c r="B112" s="105" t="str">
        <f t="shared" si="1"/>
        <v/>
      </c>
      <c r="C112" s="106">
        <f>SUMIF(Journal[date],SommeParJours!A112,Journal[Temps])</f>
        <v>0</v>
      </c>
    </row>
    <row r="113" spans="1:3" x14ac:dyDescent="0.3">
      <c r="A113" s="107"/>
      <c r="B113" s="105" t="str">
        <f t="shared" si="1"/>
        <v/>
      </c>
      <c r="C113" s="106">
        <f>SUMIF(Journal[date],SommeParJours!A113,Journal[Temps])</f>
        <v>0</v>
      </c>
    </row>
    <row r="114" spans="1:3" x14ac:dyDescent="0.3">
      <c r="A114" s="107"/>
      <c r="B114" s="105" t="str">
        <f t="shared" si="1"/>
        <v/>
      </c>
      <c r="C114" s="106">
        <f>SUMIF(Journal[date],SommeParJours!A114,Journal[Temps])</f>
        <v>0</v>
      </c>
    </row>
    <row r="115" spans="1:3" x14ac:dyDescent="0.3">
      <c r="A115" s="107"/>
      <c r="B115" s="107"/>
      <c r="C115" s="106"/>
    </row>
    <row r="116" spans="1:3" x14ac:dyDescent="0.3">
      <c r="A116" s="107"/>
      <c r="B116" s="107"/>
      <c r="C116" s="106"/>
    </row>
    <row r="117" spans="1:3" x14ac:dyDescent="0.3">
      <c r="A117" s="107"/>
      <c r="B117" s="107"/>
      <c r="C117" s="106"/>
    </row>
    <row r="118" spans="1:3" x14ac:dyDescent="0.3">
      <c r="A118" s="107"/>
      <c r="B118" s="107"/>
      <c r="C118" s="106"/>
    </row>
    <row r="119" spans="1:3" x14ac:dyDescent="0.3">
      <c r="A119" s="107"/>
      <c r="B119" s="107"/>
      <c r="C119" s="106"/>
    </row>
    <row r="120" spans="1:3" x14ac:dyDescent="0.3">
      <c r="A120" s="107"/>
      <c r="B120" s="107"/>
      <c r="C120" s="106"/>
    </row>
    <row r="121" spans="1:3" x14ac:dyDescent="0.3">
      <c r="A121" s="107"/>
      <c r="B121" s="107"/>
      <c r="C121" s="106"/>
    </row>
    <row r="122" spans="1:3" x14ac:dyDescent="0.3">
      <c r="A122" s="107"/>
      <c r="B122" s="107"/>
      <c r="C122" s="106"/>
    </row>
    <row r="123" spans="1:3" x14ac:dyDescent="0.3">
      <c r="A123" s="107"/>
      <c r="B123" s="107"/>
      <c r="C123" s="106"/>
    </row>
    <row r="124" spans="1:3" x14ac:dyDescent="0.3">
      <c r="A124" s="107"/>
      <c r="B124" s="107"/>
      <c r="C124" s="106"/>
    </row>
    <row r="125" spans="1:3" x14ac:dyDescent="0.3">
      <c r="A125" s="107"/>
      <c r="B125" s="107"/>
      <c r="C125" s="106"/>
    </row>
    <row r="126" spans="1:3" x14ac:dyDescent="0.3">
      <c r="A126" s="107"/>
      <c r="B126" s="107"/>
      <c r="C126" s="106"/>
    </row>
    <row r="127" spans="1:3" x14ac:dyDescent="0.3">
      <c r="A127" s="107"/>
      <c r="B127" s="107"/>
      <c r="C127" s="106"/>
    </row>
    <row r="128" spans="1:3" x14ac:dyDescent="0.3">
      <c r="A128" s="107"/>
      <c r="B128" s="107"/>
      <c r="C128" s="106"/>
    </row>
    <row r="129" spans="1:3" x14ac:dyDescent="0.3">
      <c r="A129" s="107"/>
      <c r="B129" s="107"/>
      <c r="C129" s="106"/>
    </row>
    <row r="130" spans="1:3" x14ac:dyDescent="0.3">
      <c r="A130" s="107"/>
      <c r="B130" s="107"/>
      <c r="C130" s="106"/>
    </row>
    <row r="131" spans="1:3" x14ac:dyDescent="0.3">
      <c r="A131" s="107"/>
      <c r="B131" s="107"/>
      <c r="C131" s="106"/>
    </row>
    <row r="132" spans="1:3" x14ac:dyDescent="0.3">
      <c r="A132" s="107"/>
      <c r="B132" s="107"/>
      <c r="C132" s="106"/>
    </row>
    <row r="133" spans="1:3" x14ac:dyDescent="0.3">
      <c r="A133" s="107"/>
      <c r="B133" s="107"/>
      <c r="C133" s="106"/>
    </row>
    <row r="134" spans="1:3" x14ac:dyDescent="0.3">
      <c r="A134" s="107"/>
      <c r="B134" s="107"/>
      <c r="C134" s="106"/>
    </row>
    <row r="135" spans="1:3" x14ac:dyDescent="0.3">
      <c r="A135" s="107"/>
      <c r="B135" s="107"/>
      <c r="C135" s="106"/>
    </row>
    <row r="136" spans="1:3" x14ac:dyDescent="0.3">
      <c r="A136" s="107"/>
      <c r="B136" s="107"/>
      <c r="C136" s="106"/>
    </row>
    <row r="137" spans="1:3" x14ac:dyDescent="0.3">
      <c r="A137" s="107"/>
      <c r="B137" s="107"/>
      <c r="C137" s="106"/>
    </row>
    <row r="138" spans="1:3" x14ac:dyDescent="0.3">
      <c r="A138" s="107"/>
      <c r="B138" s="107"/>
      <c r="C138" s="106"/>
    </row>
    <row r="139" spans="1:3" x14ac:dyDescent="0.3">
      <c r="A139" s="107"/>
      <c r="B139" s="107"/>
      <c r="C139" s="106"/>
    </row>
    <row r="140" spans="1:3" x14ac:dyDescent="0.3">
      <c r="A140" s="107"/>
      <c r="B140" s="107"/>
      <c r="C140" s="106"/>
    </row>
    <row r="141" spans="1:3" x14ac:dyDescent="0.3">
      <c r="A141" s="107"/>
      <c r="B141" s="107"/>
      <c r="C141" s="106"/>
    </row>
    <row r="142" spans="1:3" x14ac:dyDescent="0.3">
      <c r="A142" s="107"/>
      <c r="B142" s="107"/>
      <c r="C142" s="106"/>
    </row>
    <row r="143" spans="1:3" x14ac:dyDescent="0.3">
      <c r="A143" s="107"/>
      <c r="B143" s="107"/>
      <c r="C143" s="106"/>
    </row>
    <row r="144" spans="1:3" x14ac:dyDescent="0.3">
      <c r="A144" s="107"/>
      <c r="B144" s="107"/>
      <c r="C144" s="106"/>
    </row>
    <row r="145" spans="1:3" x14ac:dyDescent="0.3">
      <c r="A145" s="107"/>
      <c r="B145" s="107"/>
      <c r="C145" s="106"/>
    </row>
    <row r="146" spans="1:3" x14ac:dyDescent="0.3">
      <c r="A146" s="107"/>
      <c r="B146" s="107"/>
      <c r="C146" s="106"/>
    </row>
    <row r="147" spans="1:3" x14ac:dyDescent="0.3">
      <c r="A147" s="107"/>
      <c r="B147" s="107"/>
      <c r="C147" s="106"/>
    </row>
    <row r="148" spans="1:3" x14ac:dyDescent="0.3">
      <c r="A148" s="107"/>
      <c r="B148" s="107"/>
      <c r="C148" s="106"/>
    </row>
    <row r="149" spans="1:3" x14ac:dyDescent="0.3">
      <c r="A149" s="107"/>
      <c r="B149" s="107"/>
      <c r="C149" s="106"/>
    </row>
    <row r="150" spans="1:3" x14ac:dyDescent="0.3">
      <c r="A150" s="107"/>
      <c r="B150" s="107"/>
      <c r="C150" s="106"/>
    </row>
    <row r="151" spans="1:3" x14ac:dyDescent="0.3">
      <c r="A151" s="107"/>
      <c r="B151" s="107"/>
      <c r="C151" s="106"/>
    </row>
    <row r="152" spans="1:3" x14ac:dyDescent="0.3">
      <c r="A152" s="107"/>
      <c r="B152" s="107"/>
      <c r="C152" s="106"/>
    </row>
    <row r="153" spans="1:3" x14ac:dyDescent="0.3">
      <c r="A153" s="107"/>
      <c r="B153" s="107"/>
      <c r="C153" s="106"/>
    </row>
    <row r="154" spans="1:3" x14ac:dyDescent="0.3">
      <c r="A154" s="107"/>
      <c r="B154" s="107"/>
      <c r="C154" s="106"/>
    </row>
    <row r="155" spans="1:3" x14ac:dyDescent="0.3">
      <c r="A155" s="107"/>
      <c r="B155" s="107"/>
      <c r="C155" s="106"/>
    </row>
    <row r="156" spans="1:3" x14ac:dyDescent="0.3">
      <c r="A156" s="107"/>
      <c r="B156" s="107"/>
      <c r="C156" s="106"/>
    </row>
    <row r="157" spans="1:3" x14ac:dyDescent="0.3">
      <c r="A157" s="107"/>
      <c r="B157" s="107"/>
      <c r="C157" s="106"/>
    </row>
    <row r="158" spans="1:3" x14ac:dyDescent="0.3">
      <c r="A158" s="107"/>
      <c r="B158" s="107"/>
      <c r="C158" s="106"/>
    </row>
    <row r="159" spans="1:3" x14ac:dyDescent="0.3">
      <c r="A159" s="107"/>
      <c r="B159" s="107"/>
    </row>
    <row r="160" spans="1:3" x14ac:dyDescent="0.3">
      <c r="A160" s="107"/>
      <c r="B160" s="107"/>
    </row>
    <row r="161" spans="1:2" x14ac:dyDescent="0.3">
      <c r="A161" s="107"/>
      <c r="B161" s="107"/>
    </row>
    <row r="162" spans="1:2" x14ac:dyDescent="0.3">
      <c r="A162" s="107"/>
      <c r="B162" s="107"/>
    </row>
    <row r="163" spans="1:2" x14ac:dyDescent="0.3">
      <c r="A163" s="107"/>
      <c r="B163" s="107"/>
    </row>
    <row r="164" spans="1:2" x14ac:dyDescent="0.3">
      <c r="A164" s="107"/>
      <c r="B164" s="107"/>
    </row>
    <row r="165" spans="1:2" x14ac:dyDescent="0.3">
      <c r="A165" s="107"/>
      <c r="B165" s="107"/>
    </row>
    <row r="166" spans="1:2" x14ac:dyDescent="0.3">
      <c r="A166" s="107"/>
      <c r="B166" s="107"/>
    </row>
    <row r="167" spans="1:2" x14ac:dyDescent="0.3">
      <c r="A167" s="107"/>
      <c r="B167" s="107"/>
    </row>
    <row r="168" spans="1:2" x14ac:dyDescent="0.3">
      <c r="A168" s="107"/>
      <c r="B168" s="107"/>
    </row>
    <row r="169" spans="1:2" x14ac:dyDescent="0.3">
      <c r="A169" s="107"/>
      <c r="B169" s="107"/>
    </row>
    <row r="170" spans="1:2" x14ac:dyDescent="0.3">
      <c r="A170" s="107"/>
      <c r="B170" s="107"/>
    </row>
    <row r="171" spans="1:2" x14ac:dyDescent="0.3">
      <c r="A171" s="107"/>
      <c r="B171" s="107"/>
    </row>
    <row r="172" spans="1:2" x14ac:dyDescent="0.3">
      <c r="A172" s="107"/>
      <c r="B172" s="107"/>
    </row>
    <row r="173" spans="1:2" x14ac:dyDescent="0.3">
      <c r="A173" s="107"/>
      <c r="B173" s="107"/>
    </row>
    <row r="174" spans="1:2" x14ac:dyDescent="0.3">
      <c r="A174" s="107"/>
      <c r="B174" s="107"/>
    </row>
    <row r="175" spans="1:2" x14ac:dyDescent="0.3">
      <c r="A175" s="107"/>
      <c r="B175" s="107"/>
    </row>
    <row r="176" spans="1:2" x14ac:dyDescent="0.3">
      <c r="A176" s="107"/>
      <c r="B176" s="107"/>
    </row>
    <row r="177" spans="1:2" x14ac:dyDescent="0.3">
      <c r="A177" s="107"/>
      <c r="B177" s="107"/>
    </row>
    <row r="178" spans="1:2" x14ac:dyDescent="0.3">
      <c r="A178" s="107"/>
      <c r="B178" s="107"/>
    </row>
    <row r="179" spans="1:2" x14ac:dyDescent="0.3">
      <c r="A179" s="107"/>
      <c r="B179" s="107"/>
    </row>
    <row r="180" spans="1:2" x14ac:dyDescent="0.3">
      <c r="A180" s="107"/>
      <c r="B180" s="107"/>
    </row>
    <row r="181" spans="1:2" x14ac:dyDescent="0.3">
      <c r="A181" s="107"/>
      <c r="B181" s="107"/>
    </row>
    <row r="182" spans="1:2" x14ac:dyDescent="0.3">
      <c r="A182" s="107"/>
      <c r="B182" s="107"/>
    </row>
    <row r="183" spans="1:2" x14ac:dyDescent="0.3">
      <c r="A183" s="107"/>
      <c r="B183" s="107"/>
    </row>
    <row r="184" spans="1:2" x14ac:dyDescent="0.3">
      <c r="A184" s="107"/>
      <c r="B184" s="107"/>
    </row>
    <row r="185" spans="1:2" x14ac:dyDescent="0.3">
      <c r="A185" s="107"/>
      <c r="B185" s="107"/>
    </row>
    <row r="186" spans="1:2" x14ac:dyDescent="0.3">
      <c r="A186" s="107"/>
      <c r="B186" s="107"/>
    </row>
    <row r="187" spans="1:2" x14ac:dyDescent="0.3">
      <c r="A187" s="107"/>
      <c r="B187" s="107"/>
    </row>
    <row r="188" spans="1:2" x14ac:dyDescent="0.3">
      <c r="A188" s="107"/>
      <c r="B188" s="107"/>
    </row>
    <row r="189" spans="1:2" x14ac:dyDescent="0.3">
      <c r="A189" s="107"/>
      <c r="B189" s="107"/>
    </row>
    <row r="190" spans="1:2" x14ac:dyDescent="0.3">
      <c r="A190" s="107"/>
      <c r="B190" s="107"/>
    </row>
    <row r="191" spans="1:2" x14ac:dyDescent="0.3">
      <c r="A191" s="107"/>
      <c r="B191" s="107"/>
    </row>
    <row r="192" spans="1:2" x14ac:dyDescent="0.3">
      <c r="A192" s="107"/>
      <c r="B192" s="107"/>
    </row>
    <row r="193" spans="1:2" x14ac:dyDescent="0.3">
      <c r="A193" s="107"/>
      <c r="B193" s="107"/>
    </row>
    <row r="194" spans="1:2" x14ac:dyDescent="0.3">
      <c r="A194" s="107"/>
      <c r="B194" s="107"/>
    </row>
    <row r="195" spans="1:2" x14ac:dyDescent="0.3">
      <c r="A195" s="107"/>
      <c r="B195" s="107"/>
    </row>
    <row r="196" spans="1:2" x14ac:dyDescent="0.3">
      <c r="A196" s="107"/>
      <c r="B196" s="107"/>
    </row>
    <row r="197" spans="1:2" x14ac:dyDescent="0.3">
      <c r="A197" s="107"/>
      <c r="B197" s="107"/>
    </row>
    <row r="198" spans="1:2" x14ac:dyDescent="0.3">
      <c r="A198" s="107"/>
      <c r="B198" s="107"/>
    </row>
    <row r="199" spans="1:2" x14ac:dyDescent="0.3">
      <c r="A199" s="107"/>
      <c r="B199" s="107"/>
    </row>
    <row r="200" spans="1:2" x14ac:dyDescent="0.3">
      <c r="A200" s="107"/>
      <c r="B200" s="107"/>
    </row>
    <row r="201" spans="1:2" x14ac:dyDescent="0.3">
      <c r="A201" s="107"/>
      <c r="B201" s="107"/>
    </row>
    <row r="202" spans="1:2" x14ac:dyDescent="0.3">
      <c r="A202" s="107"/>
      <c r="B202" s="107"/>
    </row>
    <row r="203" spans="1:2" x14ac:dyDescent="0.3">
      <c r="A203" s="107"/>
      <c r="B203" s="107"/>
    </row>
    <row r="204" spans="1:2" x14ac:dyDescent="0.3">
      <c r="A204" s="107"/>
      <c r="B204" s="107"/>
    </row>
    <row r="205" spans="1:2" x14ac:dyDescent="0.3">
      <c r="A205" s="107"/>
      <c r="B205" s="107"/>
    </row>
    <row r="206" spans="1:2" x14ac:dyDescent="0.3">
      <c r="A206" s="107"/>
      <c r="B206" s="107"/>
    </row>
    <row r="207" spans="1:2" x14ac:dyDescent="0.3">
      <c r="A207" s="107"/>
      <c r="B207" s="107"/>
    </row>
    <row r="208" spans="1:2" x14ac:dyDescent="0.3">
      <c r="A208" s="107"/>
      <c r="B208" s="107"/>
    </row>
    <row r="209" spans="1:2" x14ac:dyDescent="0.3">
      <c r="A209" s="107"/>
      <c r="B209" s="107"/>
    </row>
    <row r="210" spans="1:2" x14ac:dyDescent="0.3">
      <c r="A210" s="107"/>
      <c r="B210" s="107"/>
    </row>
    <row r="211" spans="1:2" x14ac:dyDescent="0.3">
      <c r="A211" s="107"/>
      <c r="B211" s="107"/>
    </row>
    <row r="212" spans="1:2" x14ac:dyDescent="0.3">
      <c r="A212" s="107"/>
      <c r="B212" s="107"/>
    </row>
    <row r="213" spans="1:2" x14ac:dyDescent="0.3">
      <c r="A213" s="107"/>
      <c r="B213" s="107"/>
    </row>
    <row r="214" spans="1:2" x14ac:dyDescent="0.3">
      <c r="A214" s="107"/>
      <c r="B214" s="107"/>
    </row>
    <row r="215" spans="1:2" x14ac:dyDescent="0.3">
      <c r="A215" s="107"/>
      <c r="B215" s="107"/>
    </row>
    <row r="216" spans="1:2" x14ac:dyDescent="0.3">
      <c r="A216" s="107"/>
      <c r="B216" s="107"/>
    </row>
    <row r="217" spans="1:2" x14ac:dyDescent="0.3">
      <c r="A217" s="107"/>
      <c r="B217" s="107"/>
    </row>
    <row r="218" spans="1:2" x14ac:dyDescent="0.3">
      <c r="A218" s="107"/>
      <c r="B218" s="107"/>
    </row>
    <row r="219" spans="1:2" x14ac:dyDescent="0.3">
      <c r="A219" s="107"/>
      <c r="B219" s="107"/>
    </row>
    <row r="220" spans="1:2" x14ac:dyDescent="0.3">
      <c r="A220" s="107"/>
      <c r="B220" s="107"/>
    </row>
    <row r="221" spans="1:2" x14ac:dyDescent="0.3">
      <c r="A221" s="107"/>
      <c r="B221" s="107"/>
    </row>
    <row r="222" spans="1:2" x14ac:dyDescent="0.3">
      <c r="A222" s="107"/>
      <c r="B222" s="107"/>
    </row>
    <row r="223" spans="1:2" x14ac:dyDescent="0.3">
      <c r="A223" s="107"/>
      <c r="B223" s="107"/>
    </row>
    <row r="224" spans="1:2" x14ac:dyDescent="0.3">
      <c r="A224" s="107"/>
      <c r="B224" s="107"/>
    </row>
    <row r="225" spans="1:2" x14ac:dyDescent="0.3">
      <c r="A225" s="107"/>
      <c r="B225" s="107"/>
    </row>
    <row r="226" spans="1:2" x14ac:dyDescent="0.3">
      <c r="A226" s="107"/>
      <c r="B226" s="107"/>
    </row>
    <row r="227" spans="1:2" x14ac:dyDescent="0.3">
      <c r="A227" s="107"/>
      <c r="B227" s="107"/>
    </row>
    <row r="228" spans="1:2" x14ac:dyDescent="0.3">
      <c r="A228" s="107"/>
      <c r="B228" s="107"/>
    </row>
    <row r="229" spans="1:2" x14ac:dyDescent="0.3">
      <c r="A229" s="107"/>
      <c r="B229" s="107"/>
    </row>
    <row r="230" spans="1:2" x14ac:dyDescent="0.3">
      <c r="A230" s="107"/>
      <c r="B230" s="107"/>
    </row>
    <row r="231" spans="1:2" x14ac:dyDescent="0.3">
      <c r="A231" s="107"/>
      <c r="B231" s="107"/>
    </row>
    <row r="232" spans="1:2" x14ac:dyDescent="0.3">
      <c r="A232" s="107"/>
      <c r="B232" s="107"/>
    </row>
    <row r="233" spans="1:2" x14ac:dyDescent="0.3">
      <c r="A233" s="107"/>
      <c r="B233" s="107"/>
    </row>
    <row r="234" spans="1:2" x14ac:dyDescent="0.3">
      <c r="A234" s="107"/>
      <c r="B234" s="107"/>
    </row>
    <row r="235" spans="1:2" x14ac:dyDescent="0.3">
      <c r="A235" s="107"/>
      <c r="B235" s="107"/>
    </row>
  </sheetData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1</vt:i4>
      </vt:variant>
    </vt:vector>
  </HeadingPairs>
  <TitlesOfParts>
    <vt:vector size="6" baseType="lpstr">
      <vt:lpstr>Journal</vt:lpstr>
      <vt:lpstr>Graphique</vt:lpstr>
      <vt:lpstr>Plannification</vt:lpstr>
      <vt:lpstr>PlanificationExemple</vt:lpstr>
      <vt:lpstr>SommeParJours</vt:lpstr>
      <vt:lpstr>Journal!Zone_d_impression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lastModifiedBy>Hofer Lukas</cp:lastModifiedBy>
  <cp:revision>6</cp:revision>
  <dcterms:created xsi:type="dcterms:W3CDTF">2025-03-25T12:56:59Z</dcterms:created>
  <dcterms:modified xsi:type="dcterms:W3CDTF">2026-02-03T21:23:26Z</dcterms:modified>
</cp:coreProperties>
</file>